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0490" windowHeight="7755" tabRatio="892" activeTab="8"/>
  </bookViews>
  <sheets>
    <sheet name="Description" sheetId="55" r:id="rId1"/>
    <sheet name="Processess" sheetId="2" r:id="rId2"/>
    <sheet name="Emission_factor" sheetId="1" r:id="rId3"/>
    <sheet name="Carbon_footprint" sheetId="54" state="hidden" r:id="rId4"/>
    <sheet name="Increase in Capacity" sheetId="57" state="hidden" r:id="rId5"/>
    <sheet name="DG_CONS_EM" sheetId="4" r:id="rId6"/>
    <sheet name="LPG_CONS_EM" sheetId="5" r:id="rId7"/>
    <sheet name="COMP_EM" sheetId="6" r:id="rId8"/>
    <sheet name="HEMV_FUEL_EM" sheetId="8" r:id="rId9"/>
    <sheet name="OVER_B_EM" sheetId="7" r:id="rId10"/>
    <sheet name="LMV_EM_D" sheetId="9" r:id="rId11"/>
    <sheet name="LMV_EM_G" sheetId="10" r:id="rId12"/>
    <sheet name="PUMP_DEW_EM" sheetId="11" r:id="rId13"/>
    <sheet name="PORT_DG_EM" sheetId="12" r:id="rId14"/>
    <sheet name="AC_R32_EM" sheetId="13" r:id="rId15"/>
    <sheet name="OXY_ACE_EM" sheetId="14" r:id="rId16"/>
    <sheet name="DIESEL_DRILL_EM" sheetId="16" r:id="rId17"/>
    <sheet name="LUBE_USE_EM" sheetId="15" r:id="rId18"/>
    <sheet name="ELECT_EM" sheetId="17" r:id="rId19"/>
    <sheet name="DRILL_BIL_PROD_EM" sheetId="29" r:id="rId20"/>
    <sheet name="LUBE_PROD_EM" sheetId="18" r:id="rId21"/>
    <sheet name="PVC_BOX_PROD_EM" sheetId="19" r:id="rId22"/>
    <sheet name="HEMV_TYRE_PROD_EM" sheetId="22" r:id="rId23"/>
    <sheet name="LMV_TYRE_PROD_EM" sheetId="23" r:id="rId24"/>
    <sheet name="BATT_PROD_EM" sheetId="24" r:id="rId25"/>
    <sheet name="BLAST_PROD_EM" sheetId="25" r:id="rId26"/>
    <sheet name="OXY_ACE_PROD_EM" sheetId="26" r:id="rId27"/>
    <sheet name="ELECT_ARC_PROD_EM" sheetId="43" r:id="rId28"/>
    <sheet name="HDPE5_PROD_EM" sheetId="27" r:id="rId29"/>
    <sheet name="LPG_PROD_EM" sheetId="28" r:id="rId30"/>
    <sheet name="FE_CHROM_PROD_EM" sheetId="30" r:id="rId31"/>
    <sheet name="STEEL_PROD_EM" sheetId="31" r:id="rId32"/>
    <sheet name="WTP_ELECT_EM" sheetId="32" r:id="rId33"/>
    <sheet name="QC_CHEM_PROD_EM" sheetId="33" r:id="rId34"/>
    <sheet name="CHEM_ETP_PROD_EM" sheetId="34" r:id="rId35"/>
    <sheet name="DISP_TYRE_EM" sheetId="49" r:id="rId36"/>
    <sheet name="DISP_LUBE_EM" sheetId="35" r:id="rId37"/>
    <sheet name="TRANS_2WHS_EM" sheetId="36" r:id="rId38"/>
    <sheet name="TRANS_BUS_EM" sheetId="37" r:id="rId39"/>
    <sheet name="TRANS_PLANE_EM" sheetId="38" r:id="rId40"/>
    <sheet name="TRANS_LMV_EM" sheetId="39" r:id="rId41"/>
    <sheet name="TRANS_6WHS_EM" sheetId="40" r:id="rId42"/>
    <sheet name="TRANS_12-14WHS_EM" sheetId="41" r:id="rId43"/>
    <sheet name="MIN_QC_TRANS_EM" sheetId="42" r:id="rId44"/>
    <sheet name="CORE_QC_TRANS_EM" sheetId="51" r:id="rId45"/>
    <sheet name="CORE_TRANS_BB_EM" sheetId="53" r:id="rId46"/>
    <sheet name="GEN_ITEM_PROD_EM" sheetId="44" r:id="rId47"/>
    <sheet name="Sheet1" sheetId="56" r:id="rId48"/>
  </sheets>
  <definedNames>
    <definedName name="_xlnm._FilterDatabase" localSheetId="3" hidden="1">Carbon_footprint!$A$1:$I$45</definedName>
  </definedName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2" i="8" l="1"/>
  <c r="D2" i="6"/>
  <c r="H13" i="5"/>
  <c r="G4" i="5"/>
  <c r="G38" i="4"/>
  <c r="H2" i="39" l="1"/>
  <c r="G2" i="39"/>
  <c r="J2" i="13"/>
  <c r="I2" i="13"/>
  <c r="G16" i="9"/>
  <c r="G2" i="11" l="1"/>
  <c r="H3" i="5" l="1"/>
  <c r="E31" i="57" l="1"/>
  <c r="F31" i="57" s="1"/>
  <c r="E33" i="57"/>
  <c r="F33" i="57" s="1"/>
  <c r="E44" i="57"/>
  <c r="F44" i="57" s="1"/>
  <c r="E12" i="57"/>
  <c r="F12" i="57" s="1"/>
  <c r="E13" i="57"/>
  <c r="F13" i="57" s="1"/>
  <c r="E2" i="51" l="1"/>
  <c r="E2" i="53"/>
  <c r="E41" i="54" l="1"/>
  <c r="E49" i="57" s="1"/>
  <c r="F49" i="57" s="1"/>
  <c r="D45" i="54"/>
  <c r="E45" i="54" s="1"/>
  <c r="E53" i="57" s="1"/>
  <c r="F53" i="57" s="1"/>
  <c r="D44" i="54"/>
  <c r="D43" i="54"/>
  <c r="E43" i="54" s="1"/>
  <c r="E51" i="57" s="1"/>
  <c r="F51" i="57" s="1"/>
  <c r="D42" i="54"/>
  <c r="E42" i="54" s="1"/>
  <c r="E50" i="57" s="1"/>
  <c r="F50" i="57" s="1"/>
  <c r="D41" i="54"/>
  <c r="D40" i="54"/>
  <c r="E40" i="54" s="1"/>
  <c r="E48" i="57" s="1"/>
  <c r="F48" i="57" s="1"/>
  <c r="D38" i="54"/>
  <c r="D37" i="54"/>
  <c r="E37" i="54" s="1"/>
  <c r="E45" i="57" s="1"/>
  <c r="F45" i="57" s="1"/>
  <c r="D3" i="36"/>
  <c r="D34" i="54"/>
  <c r="E34" i="54" s="1"/>
  <c r="E42" i="57" s="1"/>
  <c r="F42" i="57" s="1"/>
  <c r="D33" i="54"/>
  <c r="E33" i="54" s="1"/>
  <c r="E41" i="57" s="1"/>
  <c r="F41" i="57" s="1"/>
  <c r="D32" i="54"/>
  <c r="D31" i="54"/>
  <c r="E31" i="54" s="1"/>
  <c r="E39" i="57" s="1"/>
  <c r="F39" i="57" s="1"/>
  <c r="D30" i="54"/>
  <c r="E30" i="54" s="1"/>
  <c r="E38" i="57" s="1"/>
  <c r="F38" i="57" s="1"/>
  <c r="D29" i="54"/>
  <c r="E29" i="54" s="1"/>
  <c r="E37" i="57" s="1"/>
  <c r="F37" i="57" s="1"/>
  <c r="D28" i="54"/>
  <c r="E28" i="54" s="1"/>
  <c r="E36" i="57" s="1"/>
  <c r="F36" i="57" s="1"/>
  <c r="D27" i="54"/>
  <c r="E27" i="54" s="1"/>
  <c r="E35" i="57" s="1"/>
  <c r="F35" i="57" s="1"/>
  <c r="D26" i="54"/>
  <c r="E26" i="54" s="1"/>
  <c r="E34" i="57" s="1"/>
  <c r="F34" i="57" s="1"/>
  <c r="D24" i="54"/>
  <c r="E24" i="54" s="1"/>
  <c r="E32" i="57" s="1"/>
  <c r="F32" i="57" s="1"/>
  <c r="D22" i="54"/>
  <c r="E22" i="54" s="1"/>
  <c r="E30" i="57" s="1"/>
  <c r="F30" i="57" s="1"/>
  <c r="D21" i="54"/>
  <c r="D20" i="54"/>
  <c r="D19" i="54"/>
  <c r="E19" i="54" s="1"/>
  <c r="E27" i="57" s="1"/>
  <c r="F27" i="57" s="1"/>
  <c r="D18" i="54"/>
  <c r="E18" i="54" s="1"/>
  <c r="E26" i="57" s="1"/>
  <c r="F26" i="57" s="1"/>
  <c r="D17" i="54"/>
  <c r="D16" i="54"/>
  <c r="E16" i="54" s="1"/>
  <c r="E24" i="57" s="1"/>
  <c r="D15" i="54"/>
  <c r="E15" i="54" s="1"/>
  <c r="E23" i="57" s="1"/>
  <c r="F23" i="57" s="1"/>
  <c r="D14" i="54"/>
  <c r="E14" i="54" s="1"/>
  <c r="E22" i="57" s="1"/>
  <c r="F22" i="57" s="1"/>
  <c r="D13" i="54"/>
  <c r="E13" i="54" s="1"/>
  <c r="E21" i="57" s="1"/>
  <c r="F21" i="57" s="1"/>
  <c r="D12" i="54"/>
  <c r="E12" i="54" s="1"/>
  <c r="E20" i="57" s="1"/>
  <c r="F20" i="57" s="1"/>
  <c r="D11" i="54"/>
  <c r="E11" i="54" s="1"/>
  <c r="E19" i="57" s="1"/>
  <c r="F19" i="57" s="1"/>
  <c r="D10" i="54"/>
  <c r="E10" i="54" s="1"/>
  <c r="E18" i="57" s="1"/>
  <c r="F18" i="57" s="1"/>
  <c r="D9" i="54"/>
  <c r="E9" i="54" s="1"/>
  <c r="E17" i="57" s="1"/>
  <c r="F17" i="57" s="1"/>
  <c r="D7" i="54"/>
  <c r="E7" i="54" s="1"/>
  <c r="E15" i="57" s="1"/>
  <c r="F15" i="57" s="1"/>
  <c r="D6" i="54"/>
  <c r="E6" i="54" s="1"/>
  <c r="E14" i="57" s="1"/>
  <c r="F14" i="57" s="1"/>
  <c r="F2" i="49"/>
  <c r="E4" i="54"/>
  <c r="E5" i="54"/>
  <c r="E17" i="54"/>
  <c r="E25" i="57" s="1"/>
  <c r="E20" i="54"/>
  <c r="E28" i="57" s="1"/>
  <c r="F28" i="57" s="1"/>
  <c r="E23" i="54"/>
  <c r="E25" i="54"/>
  <c r="E32" i="54"/>
  <c r="E40" i="57" s="1"/>
  <c r="F40" i="57" s="1"/>
  <c r="E36" i="54"/>
  <c r="E38" i="54"/>
  <c r="E46" i="57" s="1"/>
  <c r="F46" i="57" s="1"/>
  <c r="E44" i="54"/>
  <c r="E52" i="57" s="1"/>
  <c r="F52" i="57" s="1"/>
  <c r="I4" i="54"/>
  <c r="F25" i="57" l="1"/>
  <c r="E56" i="57"/>
  <c r="F24" i="57"/>
  <c r="F56" i="57" s="1"/>
  <c r="E21" i="54"/>
  <c r="E29" i="57" s="1"/>
  <c r="F29" i="57" s="1"/>
  <c r="H3" i="36"/>
  <c r="D35" i="54" s="1"/>
  <c r="E35" i="54" s="1"/>
  <c r="E43" i="57" s="1"/>
  <c r="F43" i="57" s="1"/>
  <c r="G3" i="36"/>
  <c r="F3" i="36"/>
  <c r="E3" i="36"/>
  <c r="I19" i="44" l="1"/>
  <c r="I2" i="44"/>
  <c r="F2" i="44"/>
  <c r="F5" i="44"/>
  <c r="I5" i="44" s="1"/>
  <c r="I4" i="44"/>
  <c r="I6" i="44"/>
  <c r="I3" i="44"/>
  <c r="F6" i="44"/>
  <c r="F4" i="44"/>
  <c r="F3" i="44"/>
  <c r="I10" i="44"/>
  <c r="F10" i="44"/>
  <c r="I18" i="44"/>
  <c r="I16" i="44"/>
  <c r="F16" i="44"/>
  <c r="I14" i="44"/>
  <c r="I7" i="44"/>
  <c r="F7" i="44"/>
  <c r="I8" i="44"/>
  <c r="F18" i="44"/>
  <c r="E2" i="42"/>
  <c r="K123" i="41"/>
  <c r="K3" i="41"/>
  <c r="K4" i="41"/>
  <c r="K5" i="41"/>
  <c r="K6" i="41"/>
  <c r="K7" i="41"/>
  <c r="K8" i="41"/>
  <c r="K9" i="41"/>
  <c r="K10" i="41"/>
  <c r="K11" i="41"/>
  <c r="K12" i="41"/>
  <c r="K13" i="41"/>
  <c r="K14" i="41"/>
  <c r="K15" i="41"/>
  <c r="K16" i="41"/>
  <c r="K17" i="41"/>
  <c r="K18" i="41"/>
  <c r="K19" i="41"/>
  <c r="K20" i="41"/>
  <c r="K21" i="41"/>
  <c r="K22" i="41"/>
  <c r="K23" i="41"/>
  <c r="K24" i="41"/>
  <c r="K25" i="41"/>
  <c r="K26" i="41"/>
  <c r="K27" i="41"/>
  <c r="K28" i="41"/>
  <c r="K29" i="41"/>
  <c r="K30" i="41"/>
  <c r="K31" i="41"/>
  <c r="K32" i="41"/>
  <c r="K33" i="41"/>
  <c r="K34" i="41"/>
  <c r="K35" i="41"/>
  <c r="K36" i="41"/>
  <c r="K37" i="41"/>
  <c r="K38" i="41"/>
  <c r="K39" i="41"/>
  <c r="K40" i="41"/>
  <c r="K41" i="41"/>
  <c r="K42" i="41"/>
  <c r="K43" i="41"/>
  <c r="K44" i="41"/>
  <c r="K45" i="41"/>
  <c r="K46" i="41"/>
  <c r="K47" i="41"/>
  <c r="K48" i="41"/>
  <c r="K49" i="41"/>
  <c r="K50" i="41"/>
  <c r="K51" i="41"/>
  <c r="K52" i="41"/>
  <c r="K53" i="41"/>
  <c r="K54" i="41"/>
  <c r="K55" i="41"/>
  <c r="K56" i="41"/>
  <c r="K57" i="41"/>
  <c r="K58" i="41"/>
  <c r="K59" i="41"/>
  <c r="K60" i="41"/>
  <c r="K61" i="41"/>
  <c r="K62" i="41"/>
  <c r="K63" i="41"/>
  <c r="K64" i="41"/>
  <c r="K65" i="41"/>
  <c r="K66" i="41"/>
  <c r="K67" i="41"/>
  <c r="K68" i="41"/>
  <c r="K69" i="41"/>
  <c r="K70" i="41"/>
  <c r="K71" i="41"/>
  <c r="K72" i="41"/>
  <c r="K73" i="41"/>
  <c r="K74" i="41"/>
  <c r="K75" i="41"/>
  <c r="K76" i="41"/>
  <c r="K77" i="41"/>
  <c r="K78" i="41"/>
  <c r="K79" i="41"/>
  <c r="K80" i="41"/>
  <c r="K81" i="41"/>
  <c r="K82" i="41"/>
  <c r="K83" i="41"/>
  <c r="K84" i="41"/>
  <c r="K85" i="41"/>
  <c r="K86" i="41"/>
  <c r="K87" i="41"/>
  <c r="K88" i="41"/>
  <c r="K89" i="41"/>
  <c r="K90" i="41"/>
  <c r="K91" i="41"/>
  <c r="K92" i="41"/>
  <c r="K93" i="41"/>
  <c r="K94" i="41"/>
  <c r="K95" i="41"/>
  <c r="K96" i="41"/>
  <c r="K97" i="41"/>
  <c r="K98" i="41"/>
  <c r="K99" i="41"/>
  <c r="K100" i="41"/>
  <c r="K101" i="41"/>
  <c r="K102" i="41"/>
  <c r="K103" i="41"/>
  <c r="K104" i="41"/>
  <c r="K105" i="41"/>
  <c r="K106" i="41"/>
  <c r="K107" i="41"/>
  <c r="K108" i="41"/>
  <c r="K109" i="41"/>
  <c r="K110" i="41"/>
  <c r="K111" i="41"/>
  <c r="K112" i="41"/>
  <c r="K113" i="41"/>
  <c r="K114" i="41"/>
  <c r="K115" i="41"/>
  <c r="K116" i="41"/>
  <c r="K117" i="41"/>
  <c r="K118" i="41"/>
  <c r="K119" i="41"/>
  <c r="K120" i="41"/>
  <c r="K121" i="41"/>
  <c r="K122" i="41"/>
  <c r="K2" i="41"/>
  <c r="K543" i="40"/>
  <c r="K3" i="40"/>
  <c r="K4" i="40"/>
  <c r="K5" i="40"/>
  <c r="K6" i="40"/>
  <c r="K7" i="40"/>
  <c r="K8" i="40"/>
  <c r="K9" i="40"/>
  <c r="K10" i="40"/>
  <c r="K11" i="40"/>
  <c r="K12" i="40"/>
  <c r="K13" i="40"/>
  <c r="K14" i="40"/>
  <c r="K15" i="40"/>
  <c r="K16" i="40"/>
  <c r="K17" i="40"/>
  <c r="K18" i="40"/>
  <c r="K19" i="40"/>
  <c r="K20" i="40"/>
  <c r="K21" i="40"/>
  <c r="K22" i="40"/>
  <c r="K23" i="40"/>
  <c r="K24" i="40"/>
  <c r="K25" i="40"/>
  <c r="K26" i="40"/>
  <c r="K27" i="40"/>
  <c r="K28" i="40"/>
  <c r="K29" i="40"/>
  <c r="K30" i="40"/>
  <c r="K31" i="40"/>
  <c r="K32" i="40"/>
  <c r="K33" i="40"/>
  <c r="K34" i="40"/>
  <c r="K35" i="40"/>
  <c r="K36" i="40"/>
  <c r="K37" i="40"/>
  <c r="K38" i="40"/>
  <c r="K39" i="40"/>
  <c r="K40" i="40"/>
  <c r="K41" i="40"/>
  <c r="K42" i="40"/>
  <c r="K43" i="40"/>
  <c r="K44" i="40"/>
  <c r="K45" i="40"/>
  <c r="K46" i="40"/>
  <c r="K47" i="40"/>
  <c r="K48" i="40"/>
  <c r="K49" i="40"/>
  <c r="K50" i="40"/>
  <c r="K51" i="40"/>
  <c r="K52" i="40"/>
  <c r="K53" i="40"/>
  <c r="K54" i="40"/>
  <c r="K55" i="40"/>
  <c r="K56" i="40"/>
  <c r="K57" i="40"/>
  <c r="K58" i="40"/>
  <c r="K59" i="40"/>
  <c r="K60" i="40"/>
  <c r="K61" i="40"/>
  <c r="K62" i="40"/>
  <c r="K63" i="40"/>
  <c r="K64" i="40"/>
  <c r="K65" i="40"/>
  <c r="K66" i="40"/>
  <c r="K67" i="40"/>
  <c r="K68" i="40"/>
  <c r="K69" i="40"/>
  <c r="K70" i="40"/>
  <c r="K71" i="40"/>
  <c r="K72" i="40"/>
  <c r="K73" i="40"/>
  <c r="K74" i="40"/>
  <c r="K75" i="40"/>
  <c r="K76" i="40"/>
  <c r="K77" i="40"/>
  <c r="K78" i="40"/>
  <c r="K79" i="40"/>
  <c r="K80" i="40"/>
  <c r="K81" i="40"/>
  <c r="K82" i="40"/>
  <c r="K83" i="40"/>
  <c r="K84" i="40"/>
  <c r="K85" i="40"/>
  <c r="K86" i="40"/>
  <c r="K87" i="40"/>
  <c r="K88" i="40"/>
  <c r="K89" i="40"/>
  <c r="K90" i="40"/>
  <c r="K91" i="40"/>
  <c r="K92" i="40"/>
  <c r="K93" i="40"/>
  <c r="K94" i="40"/>
  <c r="K95" i="40"/>
  <c r="K96" i="40"/>
  <c r="K97" i="40"/>
  <c r="K98" i="40"/>
  <c r="K99" i="40"/>
  <c r="K100" i="40"/>
  <c r="K101" i="40"/>
  <c r="K102" i="40"/>
  <c r="K103" i="40"/>
  <c r="K104" i="40"/>
  <c r="K105" i="40"/>
  <c r="K106" i="40"/>
  <c r="K107" i="40"/>
  <c r="K108" i="40"/>
  <c r="K109" i="40"/>
  <c r="K110" i="40"/>
  <c r="K111" i="40"/>
  <c r="K112" i="40"/>
  <c r="K113" i="40"/>
  <c r="K114" i="40"/>
  <c r="K115" i="40"/>
  <c r="K116" i="40"/>
  <c r="K117" i="40"/>
  <c r="K118" i="40"/>
  <c r="K119" i="40"/>
  <c r="K120" i="40"/>
  <c r="K121" i="40"/>
  <c r="K122" i="40"/>
  <c r="K123" i="40"/>
  <c r="K124" i="40"/>
  <c r="K125" i="40"/>
  <c r="K126" i="40"/>
  <c r="K127" i="40"/>
  <c r="K128" i="40"/>
  <c r="K129" i="40"/>
  <c r="K130" i="40"/>
  <c r="K131" i="40"/>
  <c r="K132" i="40"/>
  <c r="K133" i="40"/>
  <c r="K134" i="40"/>
  <c r="K135" i="40"/>
  <c r="K136" i="40"/>
  <c r="K137" i="40"/>
  <c r="K138" i="40"/>
  <c r="K139" i="40"/>
  <c r="K140" i="40"/>
  <c r="K141" i="40"/>
  <c r="K142" i="40"/>
  <c r="K143" i="40"/>
  <c r="K144" i="40"/>
  <c r="K145" i="40"/>
  <c r="K146" i="40"/>
  <c r="K147" i="40"/>
  <c r="K148" i="40"/>
  <c r="K149" i="40"/>
  <c r="K150" i="40"/>
  <c r="K151" i="40"/>
  <c r="K152" i="40"/>
  <c r="K153" i="40"/>
  <c r="K154" i="40"/>
  <c r="K155" i="40"/>
  <c r="K156" i="40"/>
  <c r="K157" i="40"/>
  <c r="K158" i="40"/>
  <c r="K159" i="40"/>
  <c r="K160" i="40"/>
  <c r="K161" i="40"/>
  <c r="K162" i="40"/>
  <c r="K163" i="40"/>
  <c r="K164" i="40"/>
  <c r="K165" i="40"/>
  <c r="K166" i="40"/>
  <c r="K167" i="40"/>
  <c r="K168" i="40"/>
  <c r="K169" i="40"/>
  <c r="K170" i="40"/>
  <c r="K171" i="40"/>
  <c r="K172" i="40"/>
  <c r="K173" i="40"/>
  <c r="K174" i="40"/>
  <c r="K175" i="40"/>
  <c r="K176" i="40"/>
  <c r="K177" i="40"/>
  <c r="K178" i="40"/>
  <c r="K179" i="40"/>
  <c r="K180" i="40"/>
  <c r="K181" i="40"/>
  <c r="K182" i="40"/>
  <c r="K183" i="40"/>
  <c r="K184" i="40"/>
  <c r="K185" i="40"/>
  <c r="K186" i="40"/>
  <c r="K187" i="40"/>
  <c r="K188" i="40"/>
  <c r="K189" i="40"/>
  <c r="K190" i="40"/>
  <c r="K191" i="40"/>
  <c r="K192" i="40"/>
  <c r="K193" i="40"/>
  <c r="K194" i="40"/>
  <c r="K195" i="40"/>
  <c r="K196" i="40"/>
  <c r="K197" i="40"/>
  <c r="K198" i="40"/>
  <c r="K199" i="40"/>
  <c r="K200" i="40"/>
  <c r="K201" i="40"/>
  <c r="K202" i="40"/>
  <c r="K203" i="40"/>
  <c r="K204" i="40"/>
  <c r="K205" i="40"/>
  <c r="K206" i="40"/>
  <c r="K207" i="40"/>
  <c r="K208" i="40"/>
  <c r="K209" i="40"/>
  <c r="K210" i="40"/>
  <c r="K211" i="40"/>
  <c r="K212" i="40"/>
  <c r="K213" i="40"/>
  <c r="K214" i="40"/>
  <c r="K215" i="40"/>
  <c r="K216" i="40"/>
  <c r="K217" i="40"/>
  <c r="K218" i="40"/>
  <c r="K219" i="40"/>
  <c r="K220" i="40"/>
  <c r="K221" i="40"/>
  <c r="K222" i="40"/>
  <c r="K223" i="40"/>
  <c r="K224" i="40"/>
  <c r="K225" i="40"/>
  <c r="K226" i="40"/>
  <c r="K227" i="40"/>
  <c r="K228" i="40"/>
  <c r="K229" i="40"/>
  <c r="K230" i="40"/>
  <c r="K231" i="40"/>
  <c r="K232" i="40"/>
  <c r="K233" i="40"/>
  <c r="K234" i="40"/>
  <c r="K235" i="40"/>
  <c r="K236" i="40"/>
  <c r="K237" i="40"/>
  <c r="K238" i="40"/>
  <c r="K239" i="40"/>
  <c r="K240" i="40"/>
  <c r="K241" i="40"/>
  <c r="K242" i="40"/>
  <c r="K243" i="40"/>
  <c r="K244" i="40"/>
  <c r="K245" i="40"/>
  <c r="K246" i="40"/>
  <c r="K247" i="40"/>
  <c r="K248" i="40"/>
  <c r="K249" i="40"/>
  <c r="K250" i="40"/>
  <c r="K251" i="40"/>
  <c r="K252" i="40"/>
  <c r="K253" i="40"/>
  <c r="K254" i="40"/>
  <c r="K255" i="40"/>
  <c r="K256" i="40"/>
  <c r="K257" i="40"/>
  <c r="K258" i="40"/>
  <c r="K259" i="40"/>
  <c r="K260" i="40"/>
  <c r="K261" i="40"/>
  <c r="K262" i="40"/>
  <c r="K263" i="40"/>
  <c r="K264" i="40"/>
  <c r="K265" i="40"/>
  <c r="K266" i="40"/>
  <c r="K267" i="40"/>
  <c r="K268" i="40"/>
  <c r="K269" i="40"/>
  <c r="K270" i="40"/>
  <c r="K271" i="40"/>
  <c r="K272" i="40"/>
  <c r="K273" i="40"/>
  <c r="K274" i="40"/>
  <c r="K275" i="40"/>
  <c r="K276" i="40"/>
  <c r="K277" i="40"/>
  <c r="K278" i="40"/>
  <c r="K279" i="40"/>
  <c r="K280" i="40"/>
  <c r="K281" i="40"/>
  <c r="K282" i="40"/>
  <c r="K283" i="40"/>
  <c r="K284" i="40"/>
  <c r="K285" i="40"/>
  <c r="K286" i="40"/>
  <c r="K287" i="40"/>
  <c r="K288" i="40"/>
  <c r="K289" i="40"/>
  <c r="K290" i="40"/>
  <c r="K291" i="40"/>
  <c r="K292" i="40"/>
  <c r="K293" i="40"/>
  <c r="K294" i="40"/>
  <c r="K295" i="40"/>
  <c r="K296" i="40"/>
  <c r="K297" i="40"/>
  <c r="K298" i="40"/>
  <c r="K299" i="40"/>
  <c r="K300" i="40"/>
  <c r="K301" i="40"/>
  <c r="K302" i="40"/>
  <c r="K303" i="40"/>
  <c r="K304" i="40"/>
  <c r="K305" i="40"/>
  <c r="K306" i="40"/>
  <c r="K307" i="40"/>
  <c r="K308" i="40"/>
  <c r="K309" i="40"/>
  <c r="K310" i="40"/>
  <c r="K311" i="40"/>
  <c r="K312" i="40"/>
  <c r="K313" i="40"/>
  <c r="K314" i="40"/>
  <c r="K315" i="40"/>
  <c r="K316" i="40"/>
  <c r="K317" i="40"/>
  <c r="K318" i="40"/>
  <c r="K319" i="40"/>
  <c r="K320" i="40"/>
  <c r="K321" i="40"/>
  <c r="K322" i="40"/>
  <c r="K323" i="40"/>
  <c r="K324" i="40"/>
  <c r="K325" i="40"/>
  <c r="K326" i="40"/>
  <c r="K327" i="40"/>
  <c r="K328" i="40"/>
  <c r="K329" i="40"/>
  <c r="K330" i="40"/>
  <c r="K331" i="40"/>
  <c r="K332" i="40"/>
  <c r="K333" i="40"/>
  <c r="K334" i="40"/>
  <c r="K335" i="40"/>
  <c r="K336" i="40"/>
  <c r="K337" i="40"/>
  <c r="K338" i="40"/>
  <c r="K339" i="40"/>
  <c r="K340" i="40"/>
  <c r="K341" i="40"/>
  <c r="K342" i="40"/>
  <c r="K343" i="40"/>
  <c r="K344" i="40"/>
  <c r="K345" i="40"/>
  <c r="K346" i="40"/>
  <c r="K347" i="40"/>
  <c r="K348" i="40"/>
  <c r="K349" i="40"/>
  <c r="K350" i="40"/>
  <c r="K351" i="40"/>
  <c r="K352" i="40"/>
  <c r="K353" i="40"/>
  <c r="K354" i="40"/>
  <c r="K355" i="40"/>
  <c r="K356" i="40"/>
  <c r="K357" i="40"/>
  <c r="K358" i="40"/>
  <c r="K359" i="40"/>
  <c r="K360" i="40"/>
  <c r="K361" i="40"/>
  <c r="K362" i="40"/>
  <c r="K363" i="40"/>
  <c r="K364" i="40"/>
  <c r="K365" i="40"/>
  <c r="K366" i="40"/>
  <c r="K367" i="40"/>
  <c r="K368" i="40"/>
  <c r="K369" i="40"/>
  <c r="K370" i="40"/>
  <c r="K371" i="40"/>
  <c r="K372" i="40"/>
  <c r="K373" i="40"/>
  <c r="K374" i="40"/>
  <c r="K375" i="40"/>
  <c r="K376" i="40"/>
  <c r="K377" i="40"/>
  <c r="K378" i="40"/>
  <c r="K379" i="40"/>
  <c r="K380" i="40"/>
  <c r="K381" i="40"/>
  <c r="K382" i="40"/>
  <c r="K383" i="40"/>
  <c r="K384" i="40"/>
  <c r="K385" i="40"/>
  <c r="K386" i="40"/>
  <c r="K387" i="40"/>
  <c r="K388" i="40"/>
  <c r="K389" i="40"/>
  <c r="K390" i="40"/>
  <c r="K391" i="40"/>
  <c r="K392" i="40"/>
  <c r="K393" i="40"/>
  <c r="K394" i="40"/>
  <c r="K395" i="40"/>
  <c r="K396" i="40"/>
  <c r="K397" i="40"/>
  <c r="K398" i="40"/>
  <c r="K399" i="40"/>
  <c r="K400" i="40"/>
  <c r="K401" i="40"/>
  <c r="K402" i="40"/>
  <c r="K403" i="40"/>
  <c r="K404" i="40"/>
  <c r="K405" i="40"/>
  <c r="K406" i="40"/>
  <c r="K407" i="40"/>
  <c r="K408" i="40"/>
  <c r="K409" i="40"/>
  <c r="K410" i="40"/>
  <c r="K411" i="40"/>
  <c r="K412" i="40"/>
  <c r="K413" i="40"/>
  <c r="K414" i="40"/>
  <c r="K415" i="40"/>
  <c r="K416" i="40"/>
  <c r="K417" i="40"/>
  <c r="K418" i="40"/>
  <c r="K419" i="40"/>
  <c r="K420" i="40"/>
  <c r="K421" i="40"/>
  <c r="K422" i="40"/>
  <c r="K423" i="40"/>
  <c r="K424" i="40"/>
  <c r="K425" i="40"/>
  <c r="K426" i="40"/>
  <c r="K427" i="40"/>
  <c r="K428" i="40"/>
  <c r="K429" i="40"/>
  <c r="K430" i="40"/>
  <c r="K431" i="40"/>
  <c r="K432" i="40"/>
  <c r="K433" i="40"/>
  <c r="K434" i="40"/>
  <c r="K435" i="40"/>
  <c r="K436" i="40"/>
  <c r="K437" i="40"/>
  <c r="K438" i="40"/>
  <c r="K439" i="40"/>
  <c r="K440" i="40"/>
  <c r="K441" i="40"/>
  <c r="K442" i="40"/>
  <c r="K443" i="40"/>
  <c r="K444" i="40"/>
  <c r="K445" i="40"/>
  <c r="K446" i="40"/>
  <c r="K447" i="40"/>
  <c r="K448" i="40"/>
  <c r="K449" i="40"/>
  <c r="K450" i="40"/>
  <c r="K451" i="40"/>
  <c r="K452" i="40"/>
  <c r="K453" i="40"/>
  <c r="K454" i="40"/>
  <c r="K455" i="40"/>
  <c r="K456" i="40"/>
  <c r="K457" i="40"/>
  <c r="K458" i="40"/>
  <c r="K459" i="40"/>
  <c r="K460" i="40"/>
  <c r="K461" i="40"/>
  <c r="K462" i="40"/>
  <c r="K463" i="40"/>
  <c r="K464" i="40"/>
  <c r="K465" i="40"/>
  <c r="K466" i="40"/>
  <c r="K467" i="40"/>
  <c r="K468" i="40"/>
  <c r="K469" i="40"/>
  <c r="K470" i="40"/>
  <c r="K471" i="40"/>
  <c r="K472" i="40"/>
  <c r="K473" i="40"/>
  <c r="K474" i="40"/>
  <c r="K475" i="40"/>
  <c r="K476" i="40"/>
  <c r="K477" i="40"/>
  <c r="K478" i="40"/>
  <c r="K479" i="40"/>
  <c r="K480" i="40"/>
  <c r="K481" i="40"/>
  <c r="K482" i="40"/>
  <c r="K483" i="40"/>
  <c r="K484" i="40"/>
  <c r="K485" i="40"/>
  <c r="K486" i="40"/>
  <c r="K487" i="40"/>
  <c r="K488" i="40"/>
  <c r="K489" i="40"/>
  <c r="K490" i="40"/>
  <c r="K491" i="40"/>
  <c r="K492" i="40"/>
  <c r="K493" i="40"/>
  <c r="K494" i="40"/>
  <c r="K495" i="40"/>
  <c r="K496" i="40"/>
  <c r="K497" i="40"/>
  <c r="K498" i="40"/>
  <c r="K499" i="40"/>
  <c r="K500" i="40"/>
  <c r="K501" i="40"/>
  <c r="K502" i="40"/>
  <c r="K503" i="40"/>
  <c r="K504" i="40"/>
  <c r="K505" i="40"/>
  <c r="K506" i="40"/>
  <c r="K507" i="40"/>
  <c r="K508" i="40"/>
  <c r="K509" i="40"/>
  <c r="K510" i="40"/>
  <c r="K511" i="40"/>
  <c r="K512" i="40"/>
  <c r="K513" i="40"/>
  <c r="K514" i="40"/>
  <c r="K515" i="40"/>
  <c r="K516" i="40"/>
  <c r="K517" i="40"/>
  <c r="K518" i="40"/>
  <c r="K519" i="40"/>
  <c r="K520" i="40"/>
  <c r="K521" i="40"/>
  <c r="K522" i="40"/>
  <c r="K523" i="40"/>
  <c r="K524" i="40"/>
  <c r="K525" i="40"/>
  <c r="K526" i="40"/>
  <c r="K527" i="40"/>
  <c r="K528" i="40"/>
  <c r="K529" i="40"/>
  <c r="K530" i="40"/>
  <c r="K531" i="40"/>
  <c r="K532" i="40"/>
  <c r="K533" i="40"/>
  <c r="K534" i="40"/>
  <c r="K535" i="40"/>
  <c r="K536" i="40"/>
  <c r="K537" i="40"/>
  <c r="K538" i="40"/>
  <c r="K539" i="40"/>
  <c r="K540" i="40"/>
  <c r="K541" i="40"/>
  <c r="K542" i="40"/>
  <c r="K2" i="40"/>
  <c r="J2" i="40"/>
  <c r="H20" i="39"/>
  <c r="D39" i="54" s="1"/>
  <c r="H3" i="39"/>
  <c r="H4" i="39"/>
  <c r="H5" i="39"/>
  <c r="H6" i="39"/>
  <c r="H7" i="39"/>
  <c r="H8" i="39"/>
  <c r="H9" i="39"/>
  <c r="H10" i="39"/>
  <c r="H11" i="39"/>
  <c r="H12" i="39"/>
  <c r="H13" i="39"/>
  <c r="H14" i="39"/>
  <c r="H15" i="39"/>
  <c r="H16" i="39"/>
  <c r="H17" i="39"/>
  <c r="H18" i="39"/>
  <c r="H19" i="39"/>
  <c r="G3" i="39"/>
  <c r="G4" i="39"/>
  <c r="G5" i="39"/>
  <c r="G6" i="39"/>
  <c r="G7" i="39"/>
  <c r="G8" i="39"/>
  <c r="G9" i="39"/>
  <c r="G10" i="39"/>
  <c r="G11" i="39"/>
  <c r="G12" i="39"/>
  <c r="G13" i="39"/>
  <c r="G14" i="39"/>
  <c r="G15" i="39"/>
  <c r="G16" i="39"/>
  <c r="G17" i="39"/>
  <c r="G18" i="39"/>
  <c r="G19" i="39"/>
  <c r="G6" i="38"/>
  <c r="G3" i="38"/>
  <c r="G4" i="38"/>
  <c r="G5" i="38"/>
  <c r="G2" i="38"/>
  <c r="F4" i="38"/>
  <c r="F5" i="38"/>
  <c r="F3" i="38"/>
  <c r="F2" i="38"/>
  <c r="H2" i="37"/>
  <c r="G2" i="37"/>
  <c r="F3" i="35"/>
  <c r="F4" i="35"/>
  <c r="F5" i="35"/>
  <c r="F6" i="35"/>
  <c r="F2" i="35"/>
  <c r="G2" i="49"/>
  <c r="G4" i="49" s="1"/>
  <c r="E5" i="34"/>
  <c r="E3" i="34"/>
  <c r="E2" i="34"/>
  <c r="C34" i="1"/>
  <c r="K14" i="33"/>
  <c r="K3" i="33"/>
  <c r="K4" i="33"/>
  <c r="K5" i="33"/>
  <c r="K6" i="33"/>
  <c r="K7" i="33"/>
  <c r="K8" i="33"/>
  <c r="K9" i="33"/>
  <c r="K10" i="33"/>
  <c r="K11" i="33"/>
  <c r="K12" i="33"/>
  <c r="K13" i="33"/>
  <c r="K2" i="33"/>
  <c r="I13" i="33"/>
  <c r="I11" i="33"/>
  <c r="I9" i="33"/>
  <c r="I6" i="33"/>
  <c r="I5" i="33"/>
  <c r="I3" i="33"/>
  <c r="H13" i="33"/>
  <c r="H11" i="33"/>
  <c r="H9" i="33"/>
  <c r="H6" i="33"/>
  <c r="I12" i="33"/>
  <c r="I7" i="33"/>
  <c r="I4" i="33"/>
  <c r="G2" i="32"/>
  <c r="G3" i="31"/>
  <c r="G4" i="31"/>
  <c r="G5" i="31"/>
  <c r="G6" i="31"/>
  <c r="G7" i="31"/>
  <c r="G8" i="31"/>
  <c r="G9" i="31"/>
  <c r="G10" i="31"/>
  <c r="G11" i="31"/>
  <c r="G12" i="31"/>
  <c r="G13" i="31"/>
  <c r="G14" i="31"/>
  <c r="G2" i="31"/>
  <c r="F3" i="31"/>
  <c r="F4" i="31"/>
  <c r="F5" i="31"/>
  <c r="F6" i="31"/>
  <c r="F7" i="31"/>
  <c r="F8" i="31"/>
  <c r="F9" i="31"/>
  <c r="F10" i="31"/>
  <c r="F11" i="31"/>
  <c r="F12" i="31"/>
  <c r="F13" i="31"/>
  <c r="F14" i="31"/>
  <c r="F2" i="31"/>
  <c r="G3" i="30"/>
  <c r="G4" i="30"/>
  <c r="G5" i="30"/>
  <c r="G6" i="30"/>
  <c r="G7" i="30"/>
  <c r="G8" i="30"/>
  <c r="G9" i="30"/>
  <c r="G10" i="30"/>
  <c r="G11" i="30"/>
  <c r="G12" i="30"/>
  <c r="G13" i="30"/>
  <c r="G14" i="30"/>
  <c r="G2" i="30"/>
  <c r="F14" i="30"/>
  <c r="F3" i="30"/>
  <c r="F4" i="30"/>
  <c r="F5" i="30"/>
  <c r="F6" i="30"/>
  <c r="F7" i="30"/>
  <c r="F8" i="30"/>
  <c r="F9" i="30"/>
  <c r="F10" i="30"/>
  <c r="F11" i="30"/>
  <c r="F12" i="30"/>
  <c r="F13" i="30"/>
  <c r="F2" i="30"/>
  <c r="J14" i="28"/>
  <c r="J3" i="28"/>
  <c r="J4" i="28"/>
  <c r="J5" i="28"/>
  <c r="J6" i="28"/>
  <c r="J7" i="28"/>
  <c r="J8" i="28"/>
  <c r="J9" i="28"/>
  <c r="J10" i="28"/>
  <c r="J11" i="28"/>
  <c r="J12" i="28"/>
  <c r="J13" i="28"/>
  <c r="J2" i="28"/>
  <c r="I14" i="28"/>
  <c r="I3" i="28"/>
  <c r="I4" i="28"/>
  <c r="I5" i="28"/>
  <c r="I6" i="28"/>
  <c r="I7" i="28"/>
  <c r="I8" i="28"/>
  <c r="I9" i="28"/>
  <c r="I10" i="28"/>
  <c r="I11" i="28"/>
  <c r="I12" i="28"/>
  <c r="I13" i="28"/>
  <c r="I2" i="28"/>
  <c r="H2" i="27"/>
  <c r="J3" i="26"/>
  <c r="F3" i="26"/>
  <c r="F2" i="26"/>
  <c r="J2" i="26" s="1"/>
  <c r="I2" i="14"/>
  <c r="H3" i="26"/>
  <c r="I3" i="26" s="1"/>
  <c r="H2" i="26"/>
  <c r="I2" i="26" s="1"/>
  <c r="E39" i="54" l="1"/>
  <c r="E47" i="57" s="1"/>
  <c r="I5" i="54"/>
  <c r="J4" i="26"/>
  <c r="F47" i="57" l="1"/>
  <c r="F57" i="57" s="1"/>
  <c r="E57" i="57"/>
  <c r="I2" i="24"/>
  <c r="G2" i="22"/>
  <c r="G3" i="19"/>
  <c r="G4" i="19"/>
  <c r="G2" i="19"/>
  <c r="F3" i="18"/>
  <c r="F4" i="18"/>
  <c r="F5" i="18"/>
  <c r="F6" i="18"/>
  <c r="F2" i="18"/>
  <c r="G4" i="29"/>
  <c r="G3" i="29"/>
  <c r="G2" i="29"/>
  <c r="E3" i="17"/>
  <c r="E2" i="17"/>
  <c r="F3" i="15"/>
  <c r="F4" i="15"/>
  <c r="F5" i="15"/>
  <c r="F6" i="15"/>
  <c r="F2" i="15"/>
  <c r="E2" i="16"/>
  <c r="J3" i="13"/>
  <c r="J4" i="13"/>
  <c r="J5" i="13"/>
  <c r="J6" i="13"/>
  <c r="J7" i="13"/>
  <c r="J8" i="13"/>
  <c r="J9" i="13"/>
  <c r="J10" i="13"/>
  <c r="J11" i="13"/>
  <c r="J12" i="13"/>
  <c r="J13" i="13"/>
  <c r="J14" i="13"/>
  <c r="H3" i="12"/>
  <c r="H4" i="12"/>
  <c r="H5" i="12"/>
  <c r="H6" i="12"/>
  <c r="H7" i="12"/>
  <c r="H8" i="12"/>
  <c r="H9" i="12"/>
  <c r="H10" i="12"/>
  <c r="H11" i="12"/>
  <c r="G2" i="4"/>
  <c r="H2" i="12"/>
  <c r="G11" i="12"/>
  <c r="H3" i="11"/>
  <c r="H4" i="11"/>
  <c r="H5" i="11"/>
  <c r="H2" i="11"/>
  <c r="H3" i="9"/>
  <c r="H4" i="9"/>
  <c r="H5" i="9"/>
  <c r="H6" i="9"/>
  <c r="H7" i="9"/>
  <c r="H8" i="9"/>
  <c r="H9" i="9"/>
  <c r="H10" i="9"/>
  <c r="H11" i="9"/>
  <c r="H12" i="9"/>
  <c r="H13" i="9"/>
  <c r="H14" i="9"/>
  <c r="H15" i="9"/>
  <c r="H16" i="9"/>
  <c r="D8" i="54" s="1"/>
  <c r="H2" i="9"/>
  <c r="H3" i="8"/>
  <c r="H4" i="8"/>
  <c r="H5" i="8"/>
  <c r="H6" i="8"/>
  <c r="H7" i="8"/>
  <c r="H8" i="8"/>
  <c r="H9" i="8"/>
  <c r="H10" i="8"/>
  <c r="H11" i="8"/>
  <c r="H12" i="8"/>
  <c r="H13" i="8"/>
  <c r="H14" i="8"/>
  <c r="H15" i="8"/>
  <c r="H16" i="8"/>
  <c r="H17" i="8"/>
  <c r="H18" i="8"/>
  <c r="H19" i="8"/>
  <c r="H20" i="8"/>
  <c r="H21" i="8"/>
  <c r="H22" i="8"/>
  <c r="H23" i="8"/>
  <c r="H24" i="8"/>
  <c r="H25" i="8"/>
  <c r="H26" i="8"/>
  <c r="H27" i="8"/>
  <c r="H28" i="8"/>
  <c r="H29" i="8"/>
  <c r="H30" i="8"/>
  <c r="H31" i="8"/>
  <c r="H32" i="8"/>
  <c r="H33" i="8"/>
  <c r="H34" i="8"/>
  <c r="H35" i="8"/>
  <c r="H36" i="8"/>
  <c r="H37" i="8"/>
  <c r="H38" i="8"/>
  <c r="H39" i="8"/>
  <c r="H40" i="8"/>
  <c r="H41" i="8"/>
  <c r="H42" i="8"/>
  <c r="H43" i="8"/>
  <c r="H44" i="8"/>
  <c r="H45" i="8"/>
  <c r="H46" i="8"/>
  <c r="H47" i="8"/>
  <c r="H48" i="8"/>
  <c r="H49" i="8"/>
  <c r="H50" i="8"/>
  <c r="H51" i="8"/>
  <c r="H2" i="8"/>
  <c r="G14" i="7"/>
  <c r="G3" i="7"/>
  <c r="G4" i="7"/>
  <c r="G5" i="7"/>
  <c r="G6" i="7"/>
  <c r="G7" i="7"/>
  <c r="G8" i="7"/>
  <c r="G9" i="7"/>
  <c r="G10" i="7"/>
  <c r="G11" i="7"/>
  <c r="G12" i="7"/>
  <c r="G13" i="7"/>
  <c r="G2" i="7"/>
  <c r="H14" i="5"/>
  <c r="D3" i="54" s="1"/>
  <c r="E3" i="54" s="1"/>
  <c r="E11" i="57" s="1"/>
  <c r="F11" i="57" s="1"/>
  <c r="H4" i="5"/>
  <c r="H5" i="5"/>
  <c r="H6" i="5"/>
  <c r="H7" i="5"/>
  <c r="H8" i="5"/>
  <c r="H9" i="5"/>
  <c r="H10" i="5"/>
  <c r="H11" i="5"/>
  <c r="H12" i="5"/>
  <c r="H2" i="5"/>
  <c r="G3" i="4"/>
  <c r="G4" i="4"/>
  <c r="G5" i="4"/>
  <c r="G6" i="4"/>
  <c r="G7" i="4"/>
  <c r="G8" i="4"/>
  <c r="G9" i="4"/>
  <c r="G10" i="4"/>
  <c r="G11" i="4"/>
  <c r="G12" i="4"/>
  <c r="G13" i="4"/>
  <c r="G14" i="4"/>
  <c r="G15" i="4"/>
  <c r="G16" i="4"/>
  <c r="G17" i="4"/>
  <c r="G18" i="4"/>
  <c r="G19" i="4"/>
  <c r="G20" i="4"/>
  <c r="G21" i="4"/>
  <c r="G22" i="4"/>
  <c r="G23" i="4"/>
  <c r="G24" i="4"/>
  <c r="G25" i="4"/>
  <c r="G26" i="4"/>
  <c r="G27" i="4"/>
  <c r="G28" i="4"/>
  <c r="G29" i="4"/>
  <c r="G30" i="4"/>
  <c r="G31" i="4"/>
  <c r="G32" i="4"/>
  <c r="G33" i="4"/>
  <c r="G34" i="4"/>
  <c r="G35" i="4"/>
  <c r="G36" i="4"/>
  <c r="G37" i="4"/>
  <c r="D2" i="54"/>
  <c r="E2" i="54" s="1"/>
  <c r="E10" i="57" s="1"/>
  <c r="E8" i="54" l="1"/>
  <c r="E16" i="57" s="1"/>
  <c r="F16" i="57" s="1"/>
  <c r="D46" i="54"/>
  <c r="E55" i="57"/>
  <c r="F10" i="57"/>
  <c r="E54" i="57"/>
  <c r="I2" i="54"/>
  <c r="I3" i="54"/>
  <c r="J123" i="41"/>
  <c r="J3" i="41"/>
  <c r="J4" i="41"/>
  <c r="J5" i="41"/>
  <c r="J6" i="41"/>
  <c r="J7" i="41"/>
  <c r="J8" i="41"/>
  <c r="J9" i="41"/>
  <c r="J10" i="41"/>
  <c r="J11" i="41"/>
  <c r="J12" i="41"/>
  <c r="J13" i="41"/>
  <c r="J14" i="41"/>
  <c r="J15" i="41"/>
  <c r="J16" i="41"/>
  <c r="J17" i="41"/>
  <c r="J18" i="41"/>
  <c r="J19" i="41"/>
  <c r="J20" i="41"/>
  <c r="J21" i="41"/>
  <c r="J22" i="41"/>
  <c r="J23" i="41"/>
  <c r="J24" i="41"/>
  <c r="J25" i="41"/>
  <c r="J26" i="41"/>
  <c r="J27" i="41"/>
  <c r="J28" i="41"/>
  <c r="J29" i="41"/>
  <c r="J30" i="41"/>
  <c r="J31" i="41"/>
  <c r="J32" i="41"/>
  <c r="J33" i="41"/>
  <c r="J34" i="41"/>
  <c r="J35" i="41"/>
  <c r="J36" i="41"/>
  <c r="J37" i="41"/>
  <c r="J38" i="41"/>
  <c r="J39" i="41"/>
  <c r="J40" i="41"/>
  <c r="J41" i="41"/>
  <c r="J42" i="41"/>
  <c r="J43" i="41"/>
  <c r="J44" i="41"/>
  <c r="J45" i="41"/>
  <c r="J46" i="41"/>
  <c r="J47" i="41"/>
  <c r="J48" i="41"/>
  <c r="J49" i="41"/>
  <c r="J50" i="41"/>
  <c r="J51" i="41"/>
  <c r="J52" i="41"/>
  <c r="J53" i="41"/>
  <c r="J54" i="41"/>
  <c r="J55" i="41"/>
  <c r="J56" i="41"/>
  <c r="J57" i="41"/>
  <c r="J58" i="41"/>
  <c r="J59" i="41"/>
  <c r="J60" i="41"/>
  <c r="J61" i="41"/>
  <c r="J62" i="41"/>
  <c r="J63" i="41"/>
  <c r="J64" i="41"/>
  <c r="J65" i="41"/>
  <c r="J66" i="41"/>
  <c r="J67" i="41"/>
  <c r="J68" i="41"/>
  <c r="J69" i="41"/>
  <c r="J70" i="41"/>
  <c r="J71" i="41"/>
  <c r="J72" i="41"/>
  <c r="J73" i="41"/>
  <c r="J74" i="41"/>
  <c r="J75" i="41"/>
  <c r="J76" i="41"/>
  <c r="J77" i="41"/>
  <c r="J78" i="41"/>
  <c r="J79" i="41"/>
  <c r="J80" i="41"/>
  <c r="J81" i="41"/>
  <c r="J82" i="41"/>
  <c r="J83" i="41"/>
  <c r="J84" i="41"/>
  <c r="J85" i="41"/>
  <c r="J86" i="41"/>
  <c r="J87" i="41"/>
  <c r="J88" i="41"/>
  <c r="J89" i="41"/>
  <c r="J90" i="41"/>
  <c r="J91" i="41"/>
  <c r="J92" i="41"/>
  <c r="J93" i="41"/>
  <c r="J94" i="41"/>
  <c r="J95" i="41"/>
  <c r="J96" i="41"/>
  <c r="J97" i="41"/>
  <c r="J98" i="41"/>
  <c r="J99" i="41"/>
  <c r="J100" i="41"/>
  <c r="J101" i="41"/>
  <c r="J102" i="41"/>
  <c r="J103" i="41"/>
  <c r="J104" i="41"/>
  <c r="J105" i="41"/>
  <c r="J106" i="41"/>
  <c r="J107" i="41"/>
  <c r="J108" i="41"/>
  <c r="J109" i="41"/>
  <c r="J110" i="41"/>
  <c r="J111" i="41"/>
  <c r="J112" i="41"/>
  <c r="J113" i="41"/>
  <c r="J114" i="41"/>
  <c r="J115" i="41"/>
  <c r="J116" i="41"/>
  <c r="J117" i="41"/>
  <c r="J118" i="41"/>
  <c r="J119" i="41"/>
  <c r="J120" i="41"/>
  <c r="J121" i="41"/>
  <c r="J122" i="41"/>
  <c r="J2" i="41"/>
  <c r="J543" i="40"/>
  <c r="J517" i="40"/>
  <c r="J3" i="40"/>
  <c r="J4" i="40"/>
  <c r="J5" i="40"/>
  <c r="J6" i="40"/>
  <c r="J7" i="40"/>
  <c r="J8" i="40"/>
  <c r="J9" i="40"/>
  <c r="J10" i="40"/>
  <c r="J11" i="40"/>
  <c r="J12" i="40"/>
  <c r="J13" i="40"/>
  <c r="J14" i="40"/>
  <c r="J15" i="40"/>
  <c r="J16" i="40"/>
  <c r="J17" i="40"/>
  <c r="J18" i="40"/>
  <c r="J19" i="40"/>
  <c r="J20" i="40"/>
  <c r="J21" i="40"/>
  <c r="J22" i="40"/>
  <c r="J23" i="40"/>
  <c r="J24" i="40"/>
  <c r="J25" i="40"/>
  <c r="J26" i="40"/>
  <c r="J27" i="40"/>
  <c r="J28" i="40"/>
  <c r="J29" i="40"/>
  <c r="J30" i="40"/>
  <c r="J31" i="40"/>
  <c r="J32" i="40"/>
  <c r="J33" i="40"/>
  <c r="J34" i="40"/>
  <c r="J35" i="40"/>
  <c r="J36" i="40"/>
  <c r="J37" i="40"/>
  <c r="J38" i="40"/>
  <c r="J39" i="40"/>
  <c r="J40" i="40"/>
  <c r="J41" i="40"/>
  <c r="J42" i="40"/>
  <c r="J43" i="40"/>
  <c r="J44" i="40"/>
  <c r="J45" i="40"/>
  <c r="J46" i="40"/>
  <c r="J47" i="40"/>
  <c r="J48" i="40"/>
  <c r="J49" i="40"/>
  <c r="J50" i="40"/>
  <c r="J51" i="40"/>
  <c r="J52" i="40"/>
  <c r="J53" i="40"/>
  <c r="J54" i="40"/>
  <c r="J55" i="40"/>
  <c r="J56" i="40"/>
  <c r="J57" i="40"/>
  <c r="J58" i="40"/>
  <c r="J59" i="40"/>
  <c r="J60" i="40"/>
  <c r="J61" i="40"/>
  <c r="J62" i="40"/>
  <c r="J63" i="40"/>
  <c r="J64" i="40"/>
  <c r="J65" i="40"/>
  <c r="J66" i="40"/>
  <c r="J67" i="40"/>
  <c r="J68" i="40"/>
  <c r="J69" i="40"/>
  <c r="J70" i="40"/>
  <c r="J71" i="40"/>
  <c r="J72" i="40"/>
  <c r="J73" i="40"/>
  <c r="J74" i="40"/>
  <c r="J75" i="40"/>
  <c r="J76" i="40"/>
  <c r="J77" i="40"/>
  <c r="J78" i="40"/>
  <c r="J79" i="40"/>
  <c r="J80" i="40"/>
  <c r="J81" i="40"/>
  <c r="J82" i="40"/>
  <c r="J83" i="40"/>
  <c r="J84" i="40"/>
  <c r="J85" i="40"/>
  <c r="J86" i="40"/>
  <c r="J87" i="40"/>
  <c r="J88" i="40"/>
  <c r="J89" i="40"/>
  <c r="J90" i="40"/>
  <c r="J91" i="40"/>
  <c r="J92" i="40"/>
  <c r="J93" i="40"/>
  <c r="J94" i="40"/>
  <c r="J95" i="40"/>
  <c r="J96" i="40"/>
  <c r="J97" i="40"/>
  <c r="J98" i="40"/>
  <c r="J99" i="40"/>
  <c r="J100" i="40"/>
  <c r="J101" i="40"/>
  <c r="J102" i="40"/>
  <c r="J103" i="40"/>
  <c r="J104" i="40"/>
  <c r="J105" i="40"/>
  <c r="J106" i="40"/>
  <c r="J107" i="40"/>
  <c r="J108" i="40"/>
  <c r="J109" i="40"/>
  <c r="J110" i="40"/>
  <c r="J111" i="40"/>
  <c r="J112" i="40"/>
  <c r="J113" i="40"/>
  <c r="J114" i="40"/>
  <c r="J115" i="40"/>
  <c r="J116" i="40"/>
  <c r="J117" i="40"/>
  <c r="J118" i="40"/>
  <c r="J119" i="40"/>
  <c r="J120" i="40"/>
  <c r="J121" i="40"/>
  <c r="J122" i="40"/>
  <c r="J123" i="40"/>
  <c r="J124" i="40"/>
  <c r="J125" i="40"/>
  <c r="J126" i="40"/>
  <c r="J127" i="40"/>
  <c r="J128" i="40"/>
  <c r="J129" i="40"/>
  <c r="J130" i="40"/>
  <c r="J131" i="40"/>
  <c r="J132" i="40"/>
  <c r="J133" i="40"/>
  <c r="J134" i="40"/>
  <c r="J135" i="40"/>
  <c r="J136" i="40"/>
  <c r="J137" i="40"/>
  <c r="J138" i="40"/>
  <c r="J139" i="40"/>
  <c r="J140" i="40"/>
  <c r="J141" i="40"/>
  <c r="J142" i="40"/>
  <c r="J143" i="40"/>
  <c r="J144" i="40"/>
  <c r="J145" i="40"/>
  <c r="J146" i="40"/>
  <c r="J147" i="40"/>
  <c r="J148" i="40"/>
  <c r="J149" i="40"/>
  <c r="J150" i="40"/>
  <c r="J151" i="40"/>
  <c r="J152" i="40"/>
  <c r="J153" i="40"/>
  <c r="J154" i="40"/>
  <c r="J155" i="40"/>
  <c r="J156" i="40"/>
  <c r="J157" i="40"/>
  <c r="J158" i="40"/>
  <c r="J159" i="40"/>
  <c r="J160" i="40"/>
  <c r="J161" i="40"/>
  <c r="J162" i="40"/>
  <c r="J163" i="40"/>
  <c r="J164" i="40"/>
  <c r="J165" i="40"/>
  <c r="J166" i="40"/>
  <c r="J167" i="40"/>
  <c r="J168" i="40"/>
  <c r="J169" i="40"/>
  <c r="J170" i="40"/>
  <c r="J171" i="40"/>
  <c r="J172" i="40"/>
  <c r="J173" i="40"/>
  <c r="J174" i="40"/>
  <c r="J175" i="40"/>
  <c r="J176" i="40"/>
  <c r="J177" i="40"/>
  <c r="J178" i="40"/>
  <c r="J179" i="40"/>
  <c r="J180" i="40"/>
  <c r="J181" i="40"/>
  <c r="J182" i="40"/>
  <c r="J183" i="40"/>
  <c r="J184" i="40"/>
  <c r="J185" i="40"/>
  <c r="J186" i="40"/>
  <c r="J187" i="40"/>
  <c r="J188" i="40"/>
  <c r="J189" i="40"/>
  <c r="J190" i="40"/>
  <c r="J191" i="40"/>
  <c r="J192" i="40"/>
  <c r="J193" i="40"/>
  <c r="J194" i="40"/>
  <c r="J195" i="40"/>
  <c r="J196" i="40"/>
  <c r="J197" i="40"/>
  <c r="J198" i="40"/>
  <c r="J199" i="40"/>
  <c r="J200" i="40"/>
  <c r="J201" i="40"/>
  <c r="J202" i="40"/>
  <c r="J203" i="40"/>
  <c r="J204" i="40"/>
  <c r="J205" i="40"/>
  <c r="J206" i="40"/>
  <c r="J207" i="40"/>
  <c r="J208" i="40"/>
  <c r="J209" i="40"/>
  <c r="J210" i="40"/>
  <c r="J211" i="40"/>
  <c r="J212" i="40"/>
  <c r="J213" i="40"/>
  <c r="J214" i="40"/>
  <c r="J215" i="40"/>
  <c r="J216" i="40"/>
  <c r="J217" i="40"/>
  <c r="J218" i="40"/>
  <c r="J219" i="40"/>
  <c r="J220" i="40"/>
  <c r="J221" i="40"/>
  <c r="J222" i="40"/>
  <c r="J223" i="40"/>
  <c r="J224" i="40"/>
  <c r="J225" i="40"/>
  <c r="J226" i="40"/>
  <c r="J227" i="40"/>
  <c r="J228" i="40"/>
  <c r="J229" i="40"/>
  <c r="J230" i="40"/>
  <c r="J231" i="40"/>
  <c r="J232" i="40"/>
  <c r="J233" i="40"/>
  <c r="J234" i="40"/>
  <c r="J235" i="40"/>
  <c r="J236" i="40"/>
  <c r="J237" i="40"/>
  <c r="J238" i="40"/>
  <c r="J239" i="40"/>
  <c r="J240" i="40"/>
  <c r="J241" i="40"/>
  <c r="J242" i="40"/>
  <c r="J243" i="40"/>
  <c r="J244" i="40"/>
  <c r="J245" i="40"/>
  <c r="J246" i="40"/>
  <c r="J247" i="40"/>
  <c r="J248" i="40"/>
  <c r="J249" i="40"/>
  <c r="J250" i="40"/>
  <c r="J251" i="40"/>
  <c r="J252" i="40"/>
  <c r="J253" i="40"/>
  <c r="J254" i="40"/>
  <c r="J255" i="40"/>
  <c r="J256" i="40"/>
  <c r="J257" i="40"/>
  <c r="J258" i="40"/>
  <c r="J259" i="40"/>
  <c r="J260" i="40"/>
  <c r="J261" i="40"/>
  <c r="J262" i="40"/>
  <c r="J263" i="40"/>
  <c r="J264" i="40"/>
  <c r="J265" i="40"/>
  <c r="J266" i="40"/>
  <c r="J267" i="40"/>
  <c r="J268" i="40"/>
  <c r="J269" i="40"/>
  <c r="J270" i="40"/>
  <c r="J271" i="40"/>
  <c r="J272" i="40"/>
  <c r="J273" i="40"/>
  <c r="J274" i="40"/>
  <c r="J275" i="40"/>
  <c r="J276" i="40"/>
  <c r="J277" i="40"/>
  <c r="J278" i="40"/>
  <c r="J279" i="40"/>
  <c r="J280" i="40"/>
  <c r="J281" i="40"/>
  <c r="J282" i="40"/>
  <c r="J283" i="40"/>
  <c r="J284" i="40"/>
  <c r="J285" i="40"/>
  <c r="J286" i="40"/>
  <c r="J287" i="40"/>
  <c r="J288" i="40"/>
  <c r="J289" i="40"/>
  <c r="J290" i="40"/>
  <c r="J291" i="40"/>
  <c r="J292" i="40"/>
  <c r="J293" i="40"/>
  <c r="J294" i="40"/>
  <c r="J295" i="40"/>
  <c r="J296" i="40"/>
  <c r="J297" i="40"/>
  <c r="J298" i="40"/>
  <c r="J299" i="40"/>
  <c r="J300" i="40"/>
  <c r="J301" i="40"/>
  <c r="J302" i="40"/>
  <c r="J303" i="40"/>
  <c r="J304" i="40"/>
  <c r="J305" i="40"/>
  <c r="J306" i="40"/>
  <c r="J307" i="40"/>
  <c r="J308" i="40"/>
  <c r="J309" i="40"/>
  <c r="J310" i="40"/>
  <c r="J311" i="40"/>
  <c r="J312" i="40"/>
  <c r="J313" i="40"/>
  <c r="J314" i="40"/>
  <c r="J315" i="40"/>
  <c r="J316" i="40"/>
  <c r="J317" i="40"/>
  <c r="J318" i="40"/>
  <c r="J319" i="40"/>
  <c r="J320" i="40"/>
  <c r="J321" i="40"/>
  <c r="J322" i="40"/>
  <c r="J323" i="40"/>
  <c r="J324" i="40"/>
  <c r="J325" i="40"/>
  <c r="J326" i="40"/>
  <c r="J327" i="40"/>
  <c r="J328" i="40"/>
  <c r="J329" i="40"/>
  <c r="J330" i="40"/>
  <c r="J331" i="40"/>
  <c r="J332" i="40"/>
  <c r="J333" i="40"/>
  <c r="J334" i="40"/>
  <c r="J335" i="40"/>
  <c r="J336" i="40"/>
  <c r="J337" i="40"/>
  <c r="J338" i="40"/>
  <c r="J339" i="40"/>
  <c r="J340" i="40"/>
  <c r="J341" i="40"/>
  <c r="J342" i="40"/>
  <c r="J343" i="40"/>
  <c r="J344" i="40"/>
  <c r="J345" i="40"/>
  <c r="J346" i="40"/>
  <c r="J347" i="40"/>
  <c r="J348" i="40"/>
  <c r="J349" i="40"/>
  <c r="J350" i="40"/>
  <c r="J351" i="40"/>
  <c r="J352" i="40"/>
  <c r="J353" i="40"/>
  <c r="J354" i="40"/>
  <c r="J355" i="40"/>
  <c r="J356" i="40"/>
  <c r="J357" i="40"/>
  <c r="J358" i="40"/>
  <c r="J359" i="40"/>
  <c r="J360" i="40"/>
  <c r="J361" i="40"/>
  <c r="J362" i="40"/>
  <c r="J363" i="40"/>
  <c r="J364" i="40"/>
  <c r="J365" i="40"/>
  <c r="J366" i="40"/>
  <c r="J367" i="40"/>
  <c r="J368" i="40"/>
  <c r="J369" i="40"/>
  <c r="J370" i="40"/>
  <c r="J371" i="40"/>
  <c r="J372" i="40"/>
  <c r="J373" i="40"/>
  <c r="J374" i="40"/>
  <c r="J375" i="40"/>
  <c r="J376" i="40"/>
  <c r="J377" i="40"/>
  <c r="J378" i="40"/>
  <c r="J379" i="40"/>
  <c r="J380" i="40"/>
  <c r="J381" i="40"/>
  <c r="J382" i="40"/>
  <c r="J383" i="40"/>
  <c r="J384" i="40"/>
  <c r="J385" i="40"/>
  <c r="J386" i="40"/>
  <c r="J387" i="40"/>
  <c r="J388" i="40"/>
  <c r="J389" i="40"/>
  <c r="J390" i="40"/>
  <c r="J391" i="40"/>
  <c r="J392" i="40"/>
  <c r="J393" i="40"/>
  <c r="J394" i="40"/>
  <c r="J395" i="40"/>
  <c r="J396" i="40"/>
  <c r="J397" i="40"/>
  <c r="J398" i="40"/>
  <c r="J399" i="40"/>
  <c r="J400" i="40"/>
  <c r="J401" i="40"/>
  <c r="J402" i="40"/>
  <c r="J403" i="40"/>
  <c r="J404" i="40"/>
  <c r="J405" i="40"/>
  <c r="J406" i="40"/>
  <c r="J407" i="40"/>
  <c r="J408" i="40"/>
  <c r="J409" i="40"/>
  <c r="J410" i="40"/>
  <c r="J411" i="40"/>
  <c r="J412" i="40"/>
  <c r="J413" i="40"/>
  <c r="J414" i="40"/>
  <c r="J415" i="40"/>
  <c r="J416" i="40"/>
  <c r="J417" i="40"/>
  <c r="J418" i="40"/>
  <c r="J419" i="40"/>
  <c r="J420" i="40"/>
  <c r="J421" i="40"/>
  <c r="J422" i="40"/>
  <c r="J423" i="40"/>
  <c r="J424" i="40"/>
  <c r="J425" i="40"/>
  <c r="J426" i="40"/>
  <c r="J427" i="40"/>
  <c r="J428" i="40"/>
  <c r="J429" i="40"/>
  <c r="J430" i="40"/>
  <c r="J431" i="40"/>
  <c r="J432" i="40"/>
  <c r="J433" i="40"/>
  <c r="J434" i="40"/>
  <c r="J435" i="40"/>
  <c r="J436" i="40"/>
  <c r="J437" i="40"/>
  <c r="J438" i="40"/>
  <c r="J439" i="40"/>
  <c r="J440" i="40"/>
  <c r="J441" i="40"/>
  <c r="J442" i="40"/>
  <c r="J443" i="40"/>
  <c r="J444" i="40"/>
  <c r="J445" i="40"/>
  <c r="J446" i="40"/>
  <c r="J447" i="40"/>
  <c r="J448" i="40"/>
  <c r="J449" i="40"/>
  <c r="J450" i="40"/>
  <c r="J451" i="40"/>
  <c r="J452" i="40"/>
  <c r="J453" i="40"/>
  <c r="J454" i="40"/>
  <c r="J455" i="40"/>
  <c r="J456" i="40"/>
  <c r="J457" i="40"/>
  <c r="J458" i="40"/>
  <c r="J459" i="40"/>
  <c r="J460" i="40"/>
  <c r="J461" i="40"/>
  <c r="J462" i="40"/>
  <c r="J463" i="40"/>
  <c r="J464" i="40"/>
  <c r="J465" i="40"/>
  <c r="J466" i="40"/>
  <c r="J467" i="40"/>
  <c r="J468" i="40"/>
  <c r="J469" i="40"/>
  <c r="J470" i="40"/>
  <c r="J471" i="40"/>
  <c r="J472" i="40"/>
  <c r="J473" i="40"/>
  <c r="J474" i="40"/>
  <c r="J475" i="40"/>
  <c r="J476" i="40"/>
  <c r="J477" i="40"/>
  <c r="J478" i="40"/>
  <c r="J479" i="40"/>
  <c r="J480" i="40"/>
  <c r="J481" i="40"/>
  <c r="J482" i="40"/>
  <c r="J483" i="40"/>
  <c r="J484" i="40"/>
  <c r="J485" i="40"/>
  <c r="J486" i="40"/>
  <c r="J487" i="40"/>
  <c r="J488" i="40"/>
  <c r="J489" i="40"/>
  <c r="J490" i="40"/>
  <c r="J491" i="40"/>
  <c r="J492" i="40"/>
  <c r="J493" i="40"/>
  <c r="J494" i="40"/>
  <c r="J495" i="40"/>
  <c r="J496" i="40"/>
  <c r="J497" i="40"/>
  <c r="J498" i="40"/>
  <c r="J499" i="40"/>
  <c r="J500" i="40"/>
  <c r="J501" i="40"/>
  <c r="J502" i="40"/>
  <c r="J503" i="40"/>
  <c r="J504" i="40"/>
  <c r="J505" i="40"/>
  <c r="J506" i="40"/>
  <c r="J507" i="40"/>
  <c r="J508" i="40"/>
  <c r="J509" i="40"/>
  <c r="J510" i="40"/>
  <c r="J511" i="40"/>
  <c r="J512" i="40"/>
  <c r="J513" i="40"/>
  <c r="J514" i="40"/>
  <c r="J515" i="40"/>
  <c r="J516" i="40"/>
  <c r="J518" i="40"/>
  <c r="J519" i="40"/>
  <c r="J520" i="40"/>
  <c r="J521" i="40"/>
  <c r="J522" i="40"/>
  <c r="J523" i="40"/>
  <c r="J524" i="40"/>
  <c r="J525" i="40"/>
  <c r="J526" i="40"/>
  <c r="J527" i="40"/>
  <c r="J528" i="40"/>
  <c r="J529" i="40"/>
  <c r="J530" i="40"/>
  <c r="J531" i="40"/>
  <c r="J532" i="40"/>
  <c r="J533" i="40"/>
  <c r="J534" i="40"/>
  <c r="J535" i="40"/>
  <c r="J536" i="40"/>
  <c r="J537" i="40"/>
  <c r="J538" i="40"/>
  <c r="J539" i="40"/>
  <c r="J540" i="40"/>
  <c r="J541" i="40"/>
  <c r="J542" i="40"/>
  <c r="F9" i="54" l="1"/>
  <c r="F17" i="54"/>
  <c r="F25" i="54"/>
  <c r="F33" i="54"/>
  <c r="F41" i="54"/>
  <c r="F11" i="54"/>
  <c r="F19" i="54"/>
  <c r="F35" i="54"/>
  <c r="F4" i="54"/>
  <c r="F20" i="54"/>
  <c r="F36" i="54"/>
  <c r="F13" i="54"/>
  <c r="F21" i="54"/>
  <c r="F37" i="54"/>
  <c r="F6" i="54"/>
  <c r="F22" i="54"/>
  <c r="F38" i="54"/>
  <c r="F7" i="54"/>
  <c r="F23" i="54"/>
  <c r="F39" i="54"/>
  <c r="F16" i="54"/>
  <c r="F24" i="54"/>
  <c r="F32" i="54"/>
  <c r="F10" i="54"/>
  <c r="F18" i="54"/>
  <c r="F26" i="54"/>
  <c r="F34" i="54"/>
  <c r="F42" i="54"/>
  <c r="F3" i="54"/>
  <c r="F27" i="54"/>
  <c r="F43" i="54"/>
  <c r="F12" i="54"/>
  <c r="F28" i="54"/>
  <c r="F44" i="54"/>
  <c r="F5" i="54"/>
  <c r="F29" i="54"/>
  <c r="F45" i="54"/>
  <c r="F14" i="54"/>
  <c r="F30" i="54"/>
  <c r="F2" i="54"/>
  <c r="F15" i="54"/>
  <c r="F31" i="54"/>
  <c r="F40" i="54"/>
  <c r="F8" i="54"/>
  <c r="F54" i="57"/>
  <c r="F55" i="57"/>
  <c r="D2" i="37"/>
  <c r="J14" i="33"/>
  <c r="F2" i="32"/>
  <c r="E2" i="32" l="1"/>
  <c r="E14" i="31"/>
  <c r="E14" i="30"/>
  <c r="G2" i="27"/>
  <c r="F2" i="43"/>
  <c r="E4" i="25"/>
  <c r="H2" i="24"/>
  <c r="F2" i="22"/>
  <c r="F4" i="19"/>
  <c r="E3" i="19"/>
  <c r="E2" i="19"/>
  <c r="F4" i="29"/>
  <c r="F3" i="29"/>
  <c r="F2" i="29"/>
  <c r="E6" i="15"/>
  <c r="I14" i="13" l="1"/>
  <c r="I3" i="13"/>
  <c r="I4" i="13"/>
  <c r="I5" i="13"/>
  <c r="I6" i="13"/>
  <c r="I7" i="13"/>
  <c r="I8" i="13"/>
  <c r="I9" i="13"/>
  <c r="I10" i="13"/>
  <c r="I11" i="13"/>
  <c r="I12" i="13"/>
  <c r="I13" i="13"/>
  <c r="H14" i="13" l="1"/>
  <c r="H3" i="13"/>
  <c r="H4" i="13"/>
  <c r="H5" i="13"/>
  <c r="H6" i="13"/>
  <c r="H7" i="13"/>
  <c r="H8" i="13"/>
  <c r="H9" i="13"/>
  <c r="H10" i="13"/>
  <c r="H11" i="13"/>
  <c r="H12" i="13"/>
  <c r="H13" i="13"/>
  <c r="H2" i="13"/>
  <c r="D14" i="13" l="1"/>
  <c r="G3" i="12"/>
  <c r="G4" i="12"/>
  <c r="G5" i="12"/>
  <c r="G6" i="12"/>
  <c r="G7" i="12"/>
  <c r="G8" i="12"/>
  <c r="G9" i="12"/>
  <c r="G10" i="12"/>
  <c r="G2" i="12"/>
  <c r="G5" i="11"/>
  <c r="G3" i="11"/>
  <c r="G4" i="11"/>
  <c r="G14" i="9"/>
  <c r="G13" i="9"/>
  <c r="G12" i="9"/>
  <c r="G11" i="9"/>
  <c r="G5" i="9"/>
  <c r="G6" i="9"/>
  <c r="G7" i="9"/>
  <c r="G8" i="9"/>
  <c r="G9" i="9"/>
  <c r="G10" i="9"/>
  <c r="G4" i="9"/>
  <c r="G3" i="9"/>
  <c r="G2" i="9"/>
  <c r="F14" i="7"/>
  <c r="E14" i="7"/>
  <c r="G52" i="8"/>
  <c r="G3" i="8"/>
  <c r="G4" i="8"/>
  <c r="G5" i="8"/>
  <c r="G6" i="8"/>
  <c r="G7" i="8"/>
  <c r="G8" i="8"/>
  <c r="G9" i="8"/>
  <c r="G10" i="8"/>
  <c r="G11" i="8"/>
  <c r="G12" i="8"/>
  <c r="G13" i="8"/>
  <c r="G14" i="8"/>
  <c r="G15" i="8"/>
  <c r="G16" i="8"/>
  <c r="G17" i="8"/>
  <c r="G18" i="8"/>
  <c r="G19" i="8"/>
  <c r="G20" i="8"/>
  <c r="G21" i="8"/>
  <c r="G22" i="8"/>
  <c r="G23" i="8"/>
  <c r="G24" i="8"/>
  <c r="G25" i="8"/>
  <c r="G26" i="8"/>
  <c r="G27" i="8"/>
  <c r="G28" i="8"/>
  <c r="G29" i="8"/>
  <c r="G30" i="8"/>
  <c r="G31" i="8"/>
  <c r="G32" i="8"/>
  <c r="G33" i="8"/>
  <c r="G34" i="8"/>
  <c r="G35" i="8"/>
  <c r="G36" i="8"/>
  <c r="G37" i="8"/>
  <c r="G38" i="8"/>
  <c r="G39" i="8"/>
  <c r="G40" i="8"/>
  <c r="G41" i="8"/>
  <c r="G42" i="8"/>
  <c r="G43" i="8"/>
  <c r="G44" i="8"/>
  <c r="G45" i="8"/>
  <c r="G46" i="8"/>
  <c r="G47" i="8"/>
  <c r="G48" i="8"/>
  <c r="G49" i="8"/>
  <c r="G50" i="8"/>
  <c r="G51" i="8"/>
  <c r="G2" i="8"/>
  <c r="G14" i="5" l="1"/>
  <c r="G3" i="5"/>
  <c r="G5" i="5"/>
  <c r="G6" i="5"/>
  <c r="G7" i="5"/>
  <c r="G8" i="5"/>
  <c r="G9" i="5"/>
  <c r="G10" i="5"/>
  <c r="G11" i="5"/>
  <c r="G12" i="5"/>
  <c r="G13" i="5"/>
  <c r="G2" i="5"/>
  <c r="E14" i="5"/>
  <c r="F38" i="4"/>
</calcChain>
</file>

<file path=xl/sharedStrings.xml><?xml version="1.0" encoding="utf-8"?>
<sst xmlns="http://schemas.openxmlformats.org/spreadsheetml/2006/main" count="4823" uniqueCount="650">
  <si>
    <t>Process_code</t>
  </si>
  <si>
    <t>Process_desc</t>
  </si>
  <si>
    <t xml:space="preserve">Scope </t>
  </si>
  <si>
    <r>
      <t>CO</t>
    </r>
    <r>
      <rPr>
        <vertAlign val="subscript"/>
        <sz val="11"/>
        <color theme="1"/>
        <rFont val="Calibri"/>
        <family val="2"/>
        <scheme val="minor"/>
      </rPr>
      <t xml:space="preserve">2 </t>
    </r>
    <r>
      <rPr>
        <sz val="11"/>
        <color theme="1"/>
        <rFont val="Calibri"/>
        <family val="2"/>
        <scheme val="minor"/>
      </rPr>
      <t>Emission from burning of diesel fuels in Diesel Generators</t>
    </r>
  </si>
  <si>
    <t>Scope_1</t>
  </si>
  <si>
    <r>
      <t>CO</t>
    </r>
    <r>
      <rPr>
        <vertAlign val="subscript"/>
        <sz val="11"/>
        <color theme="1"/>
        <rFont val="Calibri"/>
        <family val="2"/>
        <scheme val="minor"/>
      </rPr>
      <t xml:space="preserve">2 </t>
    </r>
    <r>
      <rPr>
        <sz val="11"/>
        <color theme="1"/>
        <rFont val="Calibri"/>
        <family val="2"/>
        <scheme val="minor"/>
      </rPr>
      <t>Emission from burning of LPG Fuel</t>
    </r>
  </si>
  <si>
    <t>Scope_2</t>
  </si>
  <si>
    <t>COMP_EM</t>
  </si>
  <si>
    <r>
      <t>CO</t>
    </r>
    <r>
      <rPr>
        <vertAlign val="subscript"/>
        <sz val="11"/>
        <color theme="1"/>
        <rFont val="Calibri"/>
        <family val="2"/>
        <scheme val="minor"/>
      </rPr>
      <t xml:space="preserve">2 </t>
    </r>
    <r>
      <rPr>
        <sz val="11"/>
        <color theme="1"/>
        <rFont val="Calibri"/>
        <family val="2"/>
        <scheme val="minor"/>
      </rPr>
      <t>Emission from composting of organic waste</t>
    </r>
  </si>
  <si>
    <t>BLAST_EM</t>
  </si>
  <si>
    <t>OVER_B_EM</t>
  </si>
  <si>
    <r>
      <t>CO</t>
    </r>
    <r>
      <rPr>
        <vertAlign val="subscript"/>
        <sz val="11"/>
        <color theme="1"/>
        <rFont val="Calibri"/>
        <family val="2"/>
        <scheme val="minor"/>
      </rPr>
      <t xml:space="preserve">2 </t>
    </r>
    <r>
      <rPr>
        <sz val="11"/>
        <color theme="1"/>
        <rFont val="Calibri"/>
        <family val="2"/>
        <scheme val="minor"/>
      </rPr>
      <t>Emission from anaerobic digestion of overburden</t>
    </r>
  </si>
  <si>
    <r>
      <t>CO</t>
    </r>
    <r>
      <rPr>
        <vertAlign val="subscript"/>
        <sz val="11"/>
        <color theme="1"/>
        <rFont val="Calibri"/>
        <family val="2"/>
        <scheme val="minor"/>
      </rPr>
      <t xml:space="preserve">2 </t>
    </r>
    <r>
      <rPr>
        <sz val="11"/>
        <color theme="1"/>
        <rFont val="Calibri"/>
        <family val="2"/>
        <scheme val="minor"/>
      </rPr>
      <t>Emission from burning of diesel fuel in Heavy Earth Moving Vehicle</t>
    </r>
  </si>
  <si>
    <t>No.</t>
  </si>
  <si>
    <r>
      <t>CO</t>
    </r>
    <r>
      <rPr>
        <vertAlign val="subscript"/>
        <sz val="11"/>
        <color theme="1"/>
        <rFont val="Calibri"/>
        <family val="2"/>
        <scheme val="minor"/>
      </rPr>
      <t xml:space="preserve">2 </t>
    </r>
    <r>
      <rPr>
        <sz val="11"/>
        <color theme="1"/>
        <rFont val="Calibri"/>
        <family val="2"/>
        <scheme val="minor"/>
      </rPr>
      <t>Emission from burning of diesel fuel in Light Motor Vehicle</t>
    </r>
  </si>
  <si>
    <t>LMV_EM_D</t>
  </si>
  <si>
    <t>LMV_EM_G</t>
  </si>
  <si>
    <r>
      <t>CO</t>
    </r>
    <r>
      <rPr>
        <vertAlign val="subscript"/>
        <sz val="11"/>
        <color theme="1"/>
        <rFont val="Calibri"/>
        <family val="2"/>
        <scheme val="minor"/>
      </rPr>
      <t xml:space="preserve">2 </t>
    </r>
    <r>
      <rPr>
        <sz val="11"/>
        <color theme="1"/>
        <rFont val="Calibri"/>
        <family val="2"/>
        <scheme val="minor"/>
      </rPr>
      <t>Emission from burning of petrol fuel in Light Motor Vehicle</t>
    </r>
  </si>
  <si>
    <t>AC_EM</t>
  </si>
  <si>
    <r>
      <t>CO</t>
    </r>
    <r>
      <rPr>
        <vertAlign val="subscript"/>
        <sz val="11"/>
        <color theme="1"/>
        <rFont val="Calibri"/>
        <family val="2"/>
        <scheme val="minor"/>
      </rPr>
      <t xml:space="preserve">2 </t>
    </r>
    <r>
      <rPr>
        <sz val="11"/>
        <color theme="1"/>
        <rFont val="Calibri"/>
        <family val="2"/>
        <scheme val="minor"/>
      </rPr>
      <t>Emission from Leakages of Refrigants</t>
    </r>
  </si>
  <si>
    <t>OXY_ACE_EM</t>
  </si>
  <si>
    <t>LUBE_USE_EM</t>
  </si>
  <si>
    <r>
      <t>CO</t>
    </r>
    <r>
      <rPr>
        <vertAlign val="subscript"/>
        <sz val="11"/>
        <color theme="1"/>
        <rFont val="Calibri"/>
        <family val="2"/>
        <scheme val="minor"/>
      </rPr>
      <t xml:space="preserve">2 </t>
    </r>
    <r>
      <rPr>
        <sz val="11"/>
        <color theme="1"/>
        <rFont val="Calibri"/>
        <family val="2"/>
        <scheme val="minor"/>
      </rPr>
      <t>Emission from use of lubricants in drilling</t>
    </r>
  </si>
  <si>
    <t>Scope_3</t>
  </si>
  <si>
    <t>ELECT_EM</t>
  </si>
  <si>
    <r>
      <t>CO</t>
    </r>
    <r>
      <rPr>
        <vertAlign val="subscript"/>
        <sz val="11"/>
        <color theme="1"/>
        <rFont val="Calibri"/>
        <family val="2"/>
        <scheme val="minor"/>
      </rPr>
      <t xml:space="preserve">2 </t>
    </r>
    <r>
      <rPr>
        <sz val="11"/>
        <color theme="1"/>
        <rFont val="Calibri"/>
        <family val="2"/>
        <scheme val="minor"/>
      </rPr>
      <t>Emission from consumption of electricity from the grid</t>
    </r>
  </si>
  <si>
    <t>DRILL_BIL_PROD_EM</t>
  </si>
  <si>
    <t>DG_CONS_EM</t>
  </si>
  <si>
    <t>LPG_CONS_EM</t>
  </si>
  <si>
    <t>HEMV_FUEL_EM</t>
  </si>
  <si>
    <t>LUBE_PROD_EM</t>
  </si>
  <si>
    <r>
      <t>CO</t>
    </r>
    <r>
      <rPr>
        <vertAlign val="subscript"/>
        <sz val="11"/>
        <color theme="1"/>
        <rFont val="Calibri"/>
        <family val="2"/>
        <scheme val="minor"/>
      </rPr>
      <t xml:space="preserve">2 </t>
    </r>
    <r>
      <rPr>
        <sz val="11"/>
        <color theme="1"/>
        <rFont val="Calibri"/>
        <family val="2"/>
        <scheme val="minor"/>
      </rPr>
      <t>Emission from production of Diamond tipped Steel Drill bits</t>
    </r>
  </si>
  <si>
    <t>PVC_BOX_PROD_EM</t>
  </si>
  <si>
    <r>
      <t>CO</t>
    </r>
    <r>
      <rPr>
        <vertAlign val="subscript"/>
        <sz val="11"/>
        <color theme="1"/>
        <rFont val="Calibri"/>
        <family val="2"/>
        <scheme val="minor"/>
      </rPr>
      <t xml:space="preserve">2 </t>
    </r>
    <r>
      <rPr>
        <sz val="11"/>
        <color theme="1"/>
        <rFont val="Calibri"/>
        <family val="2"/>
        <scheme val="minor"/>
      </rPr>
      <t>Emission from production of PVC boxes for storage</t>
    </r>
  </si>
  <si>
    <t>ENG_OIL_PROD_EM</t>
  </si>
  <si>
    <r>
      <t>CO</t>
    </r>
    <r>
      <rPr>
        <vertAlign val="subscript"/>
        <sz val="11"/>
        <color theme="1"/>
        <rFont val="Calibri"/>
        <family val="2"/>
        <scheme val="minor"/>
      </rPr>
      <t xml:space="preserve">2 </t>
    </r>
    <r>
      <rPr>
        <sz val="11"/>
        <color theme="1"/>
        <rFont val="Calibri"/>
        <family val="2"/>
        <scheme val="minor"/>
      </rPr>
      <t>Emission from production of lubricants used in  Drilling</t>
    </r>
  </si>
  <si>
    <t>GEAR_OIL_PROD_EM</t>
  </si>
  <si>
    <t>HEMV_TYRE_PROD_EM</t>
  </si>
  <si>
    <t>LMV_TYRE_PROD_EM</t>
  </si>
  <si>
    <r>
      <t>CO</t>
    </r>
    <r>
      <rPr>
        <vertAlign val="subscript"/>
        <sz val="11"/>
        <color theme="1"/>
        <rFont val="Calibri"/>
        <family val="2"/>
        <scheme val="minor"/>
      </rPr>
      <t xml:space="preserve">2 </t>
    </r>
    <r>
      <rPr>
        <sz val="11"/>
        <color theme="1"/>
        <rFont val="Calibri"/>
        <family val="2"/>
        <scheme val="minor"/>
      </rPr>
      <t>Emission from production of Tyres of LMV</t>
    </r>
  </si>
  <si>
    <t>BATT_PROD_EM</t>
  </si>
  <si>
    <r>
      <t>CO</t>
    </r>
    <r>
      <rPr>
        <vertAlign val="subscript"/>
        <sz val="11"/>
        <color theme="1"/>
        <rFont val="Calibri"/>
        <family val="2"/>
        <scheme val="minor"/>
      </rPr>
      <t xml:space="preserve">2 </t>
    </r>
    <r>
      <rPr>
        <sz val="11"/>
        <color theme="1"/>
        <rFont val="Calibri"/>
        <family val="2"/>
        <scheme val="minor"/>
      </rPr>
      <t>Emission from production of Lead-Acid Batteries</t>
    </r>
  </si>
  <si>
    <t>BLAST_PROD_EM</t>
  </si>
  <si>
    <r>
      <t>CO</t>
    </r>
    <r>
      <rPr>
        <vertAlign val="subscript"/>
        <sz val="11"/>
        <color theme="1"/>
        <rFont val="Calibri"/>
        <family val="2"/>
        <scheme val="minor"/>
      </rPr>
      <t xml:space="preserve">2 </t>
    </r>
    <r>
      <rPr>
        <sz val="11"/>
        <color theme="1"/>
        <rFont val="Calibri"/>
        <family val="2"/>
        <scheme val="minor"/>
      </rPr>
      <t>Emission from production of ANFO explosives</t>
    </r>
  </si>
  <si>
    <t>OXY_ACE_PROD_EM</t>
  </si>
  <si>
    <t>ELECT_ARC_PROD_EM</t>
  </si>
  <si>
    <r>
      <t>CO</t>
    </r>
    <r>
      <rPr>
        <vertAlign val="subscript"/>
        <sz val="11"/>
        <color theme="1"/>
        <rFont val="Calibri"/>
        <family val="2"/>
        <scheme val="minor"/>
      </rPr>
      <t xml:space="preserve">2 </t>
    </r>
    <r>
      <rPr>
        <sz val="11"/>
        <color theme="1"/>
        <rFont val="Calibri"/>
        <family val="2"/>
        <scheme val="minor"/>
      </rPr>
      <t>Emission from production of HDPE pipes for 3m and 5 inch (dia)</t>
    </r>
  </si>
  <si>
    <t>HDPE4.5_PROD_EM</t>
  </si>
  <si>
    <t>HDPE5_PROD_EM</t>
  </si>
  <si>
    <r>
      <t>CO</t>
    </r>
    <r>
      <rPr>
        <vertAlign val="subscript"/>
        <sz val="11"/>
        <color theme="1"/>
        <rFont val="Calibri"/>
        <family val="2"/>
        <scheme val="minor"/>
      </rPr>
      <t xml:space="preserve">2 </t>
    </r>
    <r>
      <rPr>
        <sz val="11"/>
        <color theme="1"/>
        <rFont val="Calibri"/>
        <family val="2"/>
        <scheme val="minor"/>
      </rPr>
      <t>Emission from production of HDPE pipes for 3m and 4.5 inch (dia)</t>
    </r>
  </si>
  <si>
    <t>LPG_PROD_EM</t>
  </si>
  <si>
    <t>FE_CHROM_PROD_EM</t>
  </si>
  <si>
    <t>STEEL_PROD_EM</t>
  </si>
  <si>
    <r>
      <t>CO</t>
    </r>
    <r>
      <rPr>
        <vertAlign val="subscript"/>
        <sz val="11"/>
        <color theme="1"/>
        <rFont val="Calibri"/>
        <family val="2"/>
        <scheme val="minor"/>
      </rPr>
      <t xml:space="preserve">2 </t>
    </r>
    <r>
      <rPr>
        <sz val="11"/>
        <color theme="1"/>
        <rFont val="Calibri"/>
        <family val="2"/>
        <scheme val="minor"/>
      </rPr>
      <t>Emission from production of LPG cylinders</t>
    </r>
  </si>
  <si>
    <r>
      <t>CO</t>
    </r>
    <r>
      <rPr>
        <vertAlign val="subscript"/>
        <sz val="11"/>
        <color theme="1"/>
        <rFont val="Calibri"/>
        <family val="2"/>
        <scheme val="minor"/>
      </rPr>
      <t xml:space="preserve">2 </t>
    </r>
    <r>
      <rPr>
        <sz val="11"/>
        <color theme="1"/>
        <rFont val="Calibri"/>
        <family val="2"/>
        <scheme val="minor"/>
      </rPr>
      <t>Emission from production of ferro chrome alloy</t>
    </r>
  </si>
  <si>
    <r>
      <t>CO</t>
    </r>
    <r>
      <rPr>
        <vertAlign val="subscript"/>
        <sz val="11"/>
        <color theme="1"/>
        <rFont val="Calibri"/>
        <family val="2"/>
        <scheme val="minor"/>
      </rPr>
      <t xml:space="preserve">2 </t>
    </r>
    <r>
      <rPr>
        <sz val="11"/>
        <color theme="1"/>
        <rFont val="Calibri"/>
        <family val="2"/>
        <scheme val="minor"/>
      </rPr>
      <t>Emission from production of Steel</t>
    </r>
  </si>
  <si>
    <t>WTP_ELECT_EM</t>
  </si>
  <si>
    <r>
      <t>CO</t>
    </r>
    <r>
      <rPr>
        <vertAlign val="subscript"/>
        <sz val="11"/>
        <color theme="1"/>
        <rFont val="Calibri"/>
        <family val="2"/>
        <scheme val="minor"/>
      </rPr>
      <t xml:space="preserve">2 </t>
    </r>
    <r>
      <rPr>
        <sz val="11"/>
        <color theme="1"/>
        <rFont val="Calibri"/>
        <family val="2"/>
        <scheme val="minor"/>
      </rPr>
      <t>Emission from use electricity in ETP</t>
    </r>
  </si>
  <si>
    <t>QC_CHEM_PROD_EM</t>
  </si>
  <si>
    <t>CHEM_ETP_PROD_EM</t>
  </si>
  <si>
    <r>
      <t>CO</t>
    </r>
    <r>
      <rPr>
        <vertAlign val="subscript"/>
        <sz val="11"/>
        <color theme="1"/>
        <rFont val="Calibri"/>
        <family val="2"/>
        <scheme val="minor"/>
      </rPr>
      <t xml:space="preserve">2 </t>
    </r>
    <r>
      <rPr>
        <sz val="11"/>
        <color theme="1"/>
        <rFont val="Calibri"/>
        <family val="2"/>
        <scheme val="minor"/>
      </rPr>
      <t>Emission from production of chemicals used in Quality testing and control</t>
    </r>
  </si>
  <si>
    <r>
      <t>CO</t>
    </r>
    <r>
      <rPr>
        <vertAlign val="subscript"/>
        <sz val="11"/>
        <color theme="1"/>
        <rFont val="Calibri"/>
        <family val="2"/>
        <scheme val="minor"/>
      </rPr>
      <t xml:space="preserve">2 </t>
    </r>
    <r>
      <rPr>
        <sz val="11"/>
        <color theme="1"/>
        <rFont val="Calibri"/>
        <family val="2"/>
        <scheme val="minor"/>
      </rPr>
      <t>Emission from production of chemicals used ETP</t>
    </r>
  </si>
  <si>
    <t>DISP_TYRE_EM</t>
  </si>
  <si>
    <r>
      <t>CO</t>
    </r>
    <r>
      <rPr>
        <vertAlign val="subscript"/>
        <sz val="11"/>
        <color theme="1"/>
        <rFont val="Calibri"/>
        <family val="2"/>
        <scheme val="minor"/>
      </rPr>
      <t xml:space="preserve">2 </t>
    </r>
    <r>
      <rPr>
        <sz val="11"/>
        <color theme="1"/>
        <rFont val="Calibri"/>
        <family val="2"/>
        <scheme val="minor"/>
      </rPr>
      <t>Emission from disposal of Tyres</t>
    </r>
  </si>
  <si>
    <t>DISP_LUBE_EM</t>
  </si>
  <si>
    <t>DISP_ENG_OIL_EM</t>
  </si>
  <si>
    <t>DIS_GEAR_OIL_EM</t>
  </si>
  <si>
    <t>TRANS_2WHS_EM</t>
  </si>
  <si>
    <t>TRANS_4WHS_EM</t>
  </si>
  <si>
    <t>TRANS_BUS_EM</t>
  </si>
  <si>
    <t>TRANS_PLANE_EM</t>
  </si>
  <si>
    <t>TRANS_TRAIN_EM</t>
  </si>
  <si>
    <t>TRANS_6WHS_EM</t>
  </si>
  <si>
    <t>TRANS_12WHS_EM</t>
  </si>
  <si>
    <t>TRANS_14WHS_EM</t>
  </si>
  <si>
    <t>GEN_ITEM_PROD_EM</t>
  </si>
  <si>
    <r>
      <t>CO</t>
    </r>
    <r>
      <rPr>
        <vertAlign val="subscript"/>
        <sz val="11"/>
        <color theme="1"/>
        <rFont val="Calibri"/>
        <family val="2"/>
        <scheme val="minor"/>
      </rPr>
      <t xml:space="preserve">2 </t>
    </r>
    <r>
      <rPr>
        <sz val="11"/>
        <color theme="1"/>
        <rFont val="Calibri"/>
        <family val="2"/>
        <scheme val="minor"/>
      </rPr>
      <t>Emission from disposal of Lubricants</t>
    </r>
  </si>
  <si>
    <r>
      <t>CO</t>
    </r>
    <r>
      <rPr>
        <vertAlign val="subscript"/>
        <sz val="11"/>
        <color theme="1"/>
        <rFont val="Calibri"/>
        <family val="2"/>
        <scheme val="minor"/>
      </rPr>
      <t xml:space="preserve">2 </t>
    </r>
    <r>
      <rPr>
        <sz val="11"/>
        <color theme="1"/>
        <rFont val="Calibri"/>
        <family val="2"/>
        <scheme val="minor"/>
      </rPr>
      <t>Emission from commuting using 2-wheelers</t>
    </r>
  </si>
  <si>
    <r>
      <t>CO</t>
    </r>
    <r>
      <rPr>
        <vertAlign val="subscript"/>
        <sz val="11"/>
        <color theme="1"/>
        <rFont val="Calibri"/>
        <family val="2"/>
        <scheme val="minor"/>
      </rPr>
      <t xml:space="preserve">2 </t>
    </r>
    <r>
      <rPr>
        <sz val="11"/>
        <color theme="1"/>
        <rFont val="Calibri"/>
        <family val="2"/>
        <scheme val="minor"/>
      </rPr>
      <t>Emission from commuting using 4-wheelers</t>
    </r>
  </si>
  <si>
    <r>
      <t>CO</t>
    </r>
    <r>
      <rPr>
        <vertAlign val="subscript"/>
        <sz val="11"/>
        <color theme="1"/>
        <rFont val="Calibri"/>
        <family val="2"/>
        <scheme val="minor"/>
      </rPr>
      <t xml:space="preserve">2 </t>
    </r>
    <r>
      <rPr>
        <sz val="11"/>
        <color theme="1"/>
        <rFont val="Calibri"/>
        <family val="2"/>
        <scheme val="minor"/>
      </rPr>
      <t>Emission from commuting using Buses</t>
    </r>
  </si>
  <si>
    <r>
      <t>CO</t>
    </r>
    <r>
      <rPr>
        <vertAlign val="subscript"/>
        <sz val="11"/>
        <color theme="1"/>
        <rFont val="Calibri"/>
        <family val="2"/>
        <scheme val="minor"/>
      </rPr>
      <t xml:space="preserve">2 </t>
    </r>
    <r>
      <rPr>
        <sz val="11"/>
        <color theme="1"/>
        <rFont val="Calibri"/>
        <family val="2"/>
        <scheme val="minor"/>
      </rPr>
      <t>Emission from transportation of product using 6 wheeler vehicles</t>
    </r>
  </si>
  <si>
    <r>
      <t>CO</t>
    </r>
    <r>
      <rPr>
        <vertAlign val="subscript"/>
        <sz val="11"/>
        <color theme="1"/>
        <rFont val="Calibri"/>
        <family val="2"/>
        <scheme val="minor"/>
      </rPr>
      <t xml:space="preserve">2 </t>
    </r>
    <r>
      <rPr>
        <sz val="11"/>
        <color theme="1"/>
        <rFont val="Calibri"/>
        <family val="2"/>
        <scheme val="minor"/>
      </rPr>
      <t>Emission from production of General items (stationary, medical etc) used in daily activites</t>
    </r>
  </si>
  <si>
    <t>EF</t>
  </si>
  <si>
    <t>Unit</t>
  </si>
  <si>
    <t xml:space="preserve">kg CO₂-eq/kWh consumed </t>
  </si>
  <si>
    <t>kg CO₂E/ kg of PVC produced</t>
  </si>
  <si>
    <r>
      <t>kgCO</t>
    </r>
    <r>
      <rPr>
        <vertAlign val="subscript"/>
        <sz val="11"/>
        <color theme="1"/>
        <rFont val="Calibri"/>
        <family val="2"/>
        <scheme val="minor"/>
      </rPr>
      <t>2</t>
    </r>
    <r>
      <rPr>
        <sz val="11"/>
        <color theme="1"/>
        <rFont val="Calibri"/>
        <family val="2"/>
        <scheme val="minor"/>
      </rPr>
      <t>/kg of Crude steel produced</t>
    </r>
  </si>
  <si>
    <t xml:space="preserve">kg CO₂-eq/kg consumed </t>
  </si>
  <si>
    <t xml:space="preserve">kg CO₂-eq/ton consumed </t>
  </si>
  <si>
    <t xml:space="preserve">kg CO₂-eq/litre consumed </t>
  </si>
  <si>
    <t>kg CO₂-eq/pax km</t>
  </si>
  <si>
    <t>kg CO₂-eq / litre of diesel fuel used</t>
  </si>
  <si>
    <t>kg CO₂-eq / kg of LPG used</t>
  </si>
  <si>
    <t xml:space="preserve"> kg CO₂-eq / kg of organic waste</t>
  </si>
  <si>
    <t>kg CO₂-eq /ton of overburden</t>
  </si>
  <si>
    <t>kg CO₂-eq/ litre of diesel fuel used</t>
  </si>
  <si>
    <t>kg CO₂-eq / litre of petrol fuel used</t>
  </si>
  <si>
    <t>kg CO₂-eq/kg for acetylene</t>
  </si>
  <si>
    <t>kg CO₂-eq/litre of lubricants used</t>
  </si>
  <si>
    <t>kg CO₂-eq/kg of Crude steel produced</t>
  </si>
  <si>
    <t>kg CO₂-eq/litre of lubricant produced</t>
  </si>
  <si>
    <t>kg CO₂-eq/litre of Engine oil produced</t>
  </si>
  <si>
    <t>kg CO₂-eq/kg of tyre produced</t>
  </si>
  <si>
    <t>kg CO₂-eq/ kWh power delivered</t>
  </si>
  <si>
    <t>kg CO₂-eq/kg of explosives</t>
  </si>
  <si>
    <t>kg CO₂-eq/ kg of acetylene produced</t>
  </si>
  <si>
    <t>kg CO₂-eq/m of pipe</t>
  </si>
  <si>
    <t xml:space="preserve">kg CO₂-eq/ unit wt of cylinder </t>
  </si>
  <si>
    <t>kg CO₂-eq/ km</t>
  </si>
  <si>
    <t>Remarks</t>
  </si>
  <si>
    <t>Not blasting in FY 2023-24</t>
  </si>
  <si>
    <t>No definite source</t>
  </si>
  <si>
    <t xml:space="preserve">To be summed </t>
  </si>
  <si>
    <t>TRANS_4WHS_D_EM</t>
  </si>
  <si>
    <t>TRANS_4WHS_G_EM</t>
  </si>
  <si>
    <t>average emission of bikes and scooters &lt; 200 cc</t>
  </si>
  <si>
    <t>average emission of all petrol based vehicles  ( &gt;800 and &lt; 3000 cc)</t>
  </si>
  <si>
    <t>average emission of all diesel based vehicles  ( &gt;800 and &lt; 3000 cc)</t>
  </si>
  <si>
    <t>Sl_no</t>
  </si>
  <si>
    <t>Sub_process_code</t>
  </si>
  <si>
    <t>DG_CONS_EM_OFF</t>
  </si>
  <si>
    <t>DG_CONS_EM_WB1</t>
  </si>
  <si>
    <t>DG_CONS_EM_WB2</t>
  </si>
  <si>
    <t>Year</t>
  </si>
  <si>
    <t>Month</t>
  </si>
  <si>
    <t>April</t>
  </si>
  <si>
    <t>May</t>
  </si>
  <si>
    <t>June</t>
  </si>
  <si>
    <t>July</t>
  </si>
  <si>
    <t>August</t>
  </si>
  <si>
    <t>September</t>
  </si>
  <si>
    <t>October</t>
  </si>
  <si>
    <t>November</t>
  </si>
  <si>
    <t>December</t>
  </si>
  <si>
    <t>January</t>
  </si>
  <si>
    <t>February</t>
  </si>
  <si>
    <t>March</t>
  </si>
  <si>
    <t xml:space="preserve">May </t>
  </si>
  <si>
    <t>Fuel_cons</t>
  </si>
  <si>
    <t>DG_CONS_EM_Total</t>
  </si>
  <si>
    <t>LPG_no</t>
  </si>
  <si>
    <t>Weight_LPG</t>
  </si>
  <si>
    <t>Total_LPG_Cons</t>
  </si>
  <si>
    <t>Compost_gen</t>
  </si>
  <si>
    <t>Kg</t>
  </si>
  <si>
    <t>litres</t>
  </si>
  <si>
    <t>Apr</t>
  </si>
  <si>
    <t>Jun</t>
  </si>
  <si>
    <t>Jul</t>
  </si>
  <si>
    <t>Aug</t>
  </si>
  <si>
    <t>Sep</t>
  </si>
  <si>
    <t>Oct</t>
  </si>
  <si>
    <t>Nov</t>
  </si>
  <si>
    <t>Dec</t>
  </si>
  <si>
    <t>Jan</t>
  </si>
  <si>
    <t>Feb</t>
  </si>
  <si>
    <t>Mar</t>
  </si>
  <si>
    <t>PUMP_DEW_EM</t>
  </si>
  <si>
    <r>
      <t>CO</t>
    </r>
    <r>
      <rPr>
        <vertAlign val="subscript"/>
        <sz val="11"/>
        <color theme="1"/>
        <rFont val="Calibri"/>
        <family val="2"/>
        <scheme val="minor"/>
      </rPr>
      <t xml:space="preserve">2 </t>
    </r>
    <r>
      <rPr>
        <sz val="11"/>
        <color theme="1"/>
        <rFont val="Calibri"/>
        <family val="2"/>
        <scheme val="minor"/>
      </rPr>
      <t>Emission from burning of diesel for pumping of water</t>
    </r>
  </si>
  <si>
    <t>Sl no</t>
  </si>
  <si>
    <t>Type</t>
  </si>
  <si>
    <t>Model</t>
  </si>
  <si>
    <t>Run_hrs</t>
  </si>
  <si>
    <t>Mileage</t>
  </si>
  <si>
    <t>Fuel_Con</t>
  </si>
  <si>
    <t>TE-216</t>
  </si>
  <si>
    <t>TE 143</t>
  </si>
  <si>
    <t>TE-151</t>
  </si>
  <si>
    <t>TE 159</t>
  </si>
  <si>
    <t>TE-38</t>
  </si>
  <si>
    <t>TE-162</t>
  </si>
  <si>
    <t>TE-212</t>
  </si>
  <si>
    <t>BD 32</t>
  </si>
  <si>
    <t>BD 23</t>
  </si>
  <si>
    <t>GD-20</t>
  </si>
  <si>
    <t>HDPV-121</t>
  </si>
  <si>
    <t>HDPV-122</t>
  </si>
  <si>
    <t>HDPV-123</t>
  </si>
  <si>
    <t>HDPV-124</t>
  </si>
  <si>
    <t>DPV-202</t>
  </si>
  <si>
    <t>DPV-205</t>
  </si>
  <si>
    <t>DPV-206</t>
  </si>
  <si>
    <t>DPV-207</t>
  </si>
  <si>
    <t>DPV-213</t>
  </si>
  <si>
    <t>DPV-111</t>
  </si>
  <si>
    <t>DPV-112</t>
  </si>
  <si>
    <t>DPV-154</t>
  </si>
  <si>
    <t>DPV-155</t>
  </si>
  <si>
    <t>DPV-173</t>
  </si>
  <si>
    <t>DPV 148</t>
  </si>
  <si>
    <t>DPV 152</t>
  </si>
  <si>
    <t>DPV 145</t>
  </si>
  <si>
    <t>DPV 147</t>
  </si>
  <si>
    <t xml:space="preserve">  DPV 151</t>
  </si>
  <si>
    <t>DPV 174</t>
  </si>
  <si>
    <t>DPV 119</t>
  </si>
  <si>
    <t>DPV 105</t>
  </si>
  <si>
    <t>DPV 175</t>
  </si>
  <si>
    <t>DPV-397</t>
  </si>
  <si>
    <t>DPV-403</t>
  </si>
  <si>
    <t>DPV-481</t>
  </si>
  <si>
    <t>DPV-484</t>
  </si>
  <si>
    <t>DPV-486</t>
  </si>
  <si>
    <t>DPV-487</t>
  </si>
  <si>
    <t>DPV-488</t>
  </si>
  <si>
    <t>DPV-489</t>
  </si>
  <si>
    <t>DPV-490</t>
  </si>
  <si>
    <t>DPV-404</t>
  </si>
  <si>
    <t>DPV-396</t>
  </si>
  <si>
    <t>DPV-485</t>
  </si>
  <si>
    <t>DPV-483</t>
  </si>
  <si>
    <t>DPV-482</t>
  </si>
  <si>
    <t>WT-72</t>
  </si>
  <si>
    <t>DT- 18</t>
  </si>
  <si>
    <t>SVAN -22</t>
  </si>
  <si>
    <t>VOLVO/EC550EL</t>
  </si>
  <si>
    <t>VOLVO/EC480DL</t>
  </si>
  <si>
    <t>KOMATSU/PC130</t>
  </si>
  <si>
    <t>VOLVO/EC210</t>
  </si>
  <si>
    <t>CAT/D6R2</t>
  </si>
  <si>
    <t>SDLG/G9190H</t>
  </si>
  <si>
    <t>VOLVO/FMX440</t>
  </si>
  <si>
    <t>BHARATBENZ/3128CM</t>
  </si>
  <si>
    <t>ASHOK LEYLAND/3235 TN</t>
  </si>
  <si>
    <t>TATA/ULTRA 1918</t>
  </si>
  <si>
    <t>Total</t>
  </si>
  <si>
    <r>
      <t>m</t>
    </r>
    <r>
      <rPr>
        <vertAlign val="superscript"/>
        <sz val="11"/>
        <color theme="1"/>
        <rFont val="Calibri"/>
        <family val="2"/>
        <scheme val="minor"/>
      </rPr>
      <t>3</t>
    </r>
  </si>
  <si>
    <t>LMV-176</t>
  </si>
  <si>
    <t>LMV-180</t>
  </si>
  <si>
    <t>MAHINDRA/M2DICR</t>
  </si>
  <si>
    <t>BOLERO</t>
  </si>
  <si>
    <t>CAMPER</t>
  </si>
  <si>
    <t>AMBULANCE</t>
  </si>
  <si>
    <t>PORT_DG_EM</t>
  </si>
  <si>
    <r>
      <t>CO</t>
    </r>
    <r>
      <rPr>
        <vertAlign val="subscript"/>
        <sz val="11"/>
        <color theme="1"/>
        <rFont val="Calibri"/>
        <family val="2"/>
        <scheme val="minor"/>
      </rPr>
      <t xml:space="preserve">2 </t>
    </r>
    <r>
      <rPr>
        <sz val="11"/>
        <color theme="1"/>
        <rFont val="Calibri"/>
        <family val="2"/>
        <scheme val="minor"/>
      </rPr>
      <t>Emission from burning of diesel fuels in Portable Diesel Generators</t>
    </r>
  </si>
  <si>
    <t>200 HP PUMP</t>
  </si>
  <si>
    <t>391 HP PUMP</t>
  </si>
  <si>
    <t>396 HP PUMP</t>
  </si>
  <si>
    <t>KIRLOSKAR/198 HP</t>
  </si>
  <si>
    <t>GREAVES/391 HP</t>
  </si>
  <si>
    <t>GREAVES/396 HP</t>
  </si>
  <si>
    <t>Run_Hrs</t>
  </si>
  <si>
    <t>Per_hr</t>
  </si>
  <si>
    <t>LS - 53</t>
  </si>
  <si>
    <t>LS - 77</t>
  </si>
  <si>
    <t>LS - 99</t>
  </si>
  <si>
    <t>LS - 101</t>
  </si>
  <si>
    <t>LS - 251</t>
  </si>
  <si>
    <t>LS - 252</t>
  </si>
  <si>
    <t>LS-253</t>
  </si>
  <si>
    <t>LS-254</t>
  </si>
  <si>
    <t>LS-255</t>
  </si>
  <si>
    <t>ATLAS COPCO</t>
  </si>
  <si>
    <t>ASKA</t>
  </si>
  <si>
    <t>Run_hr</t>
  </si>
  <si>
    <t>Per_Hr</t>
  </si>
  <si>
    <t>Fuel_Cons</t>
  </si>
  <si>
    <t xml:space="preserve">Sl </t>
  </si>
  <si>
    <t>No</t>
  </si>
  <si>
    <t>Area</t>
  </si>
  <si>
    <t>no</t>
  </si>
  <si>
    <t>MM</t>
  </si>
  <si>
    <t>PS</t>
  </si>
  <si>
    <t>Ele</t>
  </si>
  <si>
    <t>F&amp;E</t>
  </si>
  <si>
    <t>Min</t>
  </si>
  <si>
    <t>Step</t>
  </si>
  <si>
    <t>Tonnage</t>
  </si>
  <si>
    <t>Finance_1</t>
  </si>
  <si>
    <t>Finance_2</t>
  </si>
  <si>
    <t>Transport</t>
  </si>
  <si>
    <t>Looby</t>
  </si>
  <si>
    <t>Geo and Mech</t>
  </si>
  <si>
    <t>Sur and Safety</t>
  </si>
  <si>
    <t>kg CO₂-eq/kg of refrigerant leaked (R32)</t>
  </si>
  <si>
    <t>Wattage (W)</t>
  </si>
  <si>
    <t>Run_Time</t>
  </si>
  <si>
    <t>Energy (Wh)</t>
  </si>
  <si>
    <t>Leakage (kg)</t>
  </si>
  <si>
    <t>Sl NO</t>
  </si>
  <si>
    <t>DIESEL_DRILL_EM</t>
  </si>
  <si>
    <r>
      <t>CO</t>
    </r>
    <r>
      <rPr>
        <vertAlign val="subscript"/>
        <sz val="11"/>
        <color theme="1"/>
        <rFont val="Calibri"/>
        <family val="2"/>
        <scheme val="minor"/>
      </rPr>
      <t xml:space="preserve">2 </t>
    </r>
    <r>
      <rPr>
        <sz val="11"/>
        <color theme="1"/>
        <rFont val="Calibri"/>
        <family val="2"/>
        <scheme val="minor"/>
      </rPr>
      <t>Emission from burning of diesel fuel in Drilling machine</t>
    </r>
  </si>
  <si>
    <t>No of Drills</t>
  </si>
  <si>
    <t>Tot_Fuel_cons</t>
  </si>
  <si>
    <t>BOLERO_WATER</t>
  </si>
  <si>
    <t>Ltrs</t>
  </si>
  <si>
    <t>Ton</t>
  </si>
  <si>
    <t>Litres</t>
  </si>
  <si>
    <t>Liters</t>
  </si>
  <si>
    <t>kg</t>
  </si>
  <si>
    <t>Engine_oil</t>
  </si>
  <si>
    <t>Gear Oil</t>
  </si>
  <si>
    <t>Annual_cons</t>
  </si>
  <si>
    <t>Total_Consumption</t>
  </si>
  <si>
    <t>Overall</t>
  </si>
  <si>
    <t>Admin_building</t>
  </si>
  <si>
    <t>kWh</t>
  </si>
  <si>
    <t>Sub_process</t>
  </si>
  <si>
    <t>Drilling</t>
  </si>
  <si>
    <t>Vehicle</t>
  </si>
  <si>
    <t>Weight</t>
  </si>
  <si>
    <t>Total_wt</t>
  </si>
  <si>
    <t>HQ3 Imp Dia Bit</t>
  </si>
  <si>
    <t>NQ3 Imp Dia Bit</t>
  </si>
  <si>
    <t>Box_type</t>
  </si>
  <si>
    <t>Total_number</t>
  </si>
  <si>
    <t>wt_unit</t>
  </si>
  <si>
    <t>HQ</t>
  </si>
  <si>
    <t>NQ</t>
  </si>
  <si>
    <t>sl_no</t>
  </si>
  <si>
    <t>Tyre</t>
  </si>
  <si>
    <t>Total_weight</t>
  </si>
  <si>
    <t>Number of tyres for LMV, number and weight per tyre</t>
  </si>
  <si>
    <r>
      <t>CO</t>
    </r>
    <r>
      <rPr>
        <vertAlign val="subscript"/>
        <sz val="11"/>
        <color rgb="FFC00000"/>
        <rFont val="Calibri"/>
        <family val="2"/>
        <scheme val="minor"/>
      </rPr>
      <t xml:space="preserve">2 </t>
    </r>
    <r>
      <rPr>
        <sz val="11"/>
        <color rgb="FFC00000"/>
        <rFont val="Calibri"/>
        <family val="2"/>
        <scheme val="minor"/>
      </rPr>
      <t>Emission from use of explosives</t>
    </r>
  </si>
  <si>
    <r>
      <t>CO</t>
    </r>
    <r>
      <rPr>
        <vertAlign val="subscript"/>
        <sz val="11"/>
        <color rgb="FFC00000"/>
        <rFont val="Calibri"/>
        <family val="2"/>
        <scheme val="minor"/>
      </rPr>
      <t xml:space="preserve">2 </t>
    </r>
    <r>
      <rPr>
        <sz val="11"/>
        <color rgb="FFC00000"/>
        <rFont val="Calibri"/>
        <family val="2"/>
        <scheme val="minor"/>
      </rPr>
      <t>Emission from production of Tyres of HEMV</t>
    </r>
  </si>
  <si>
    <t>Batt_volt (V)</t>
  </si>
  <si>
    <t>Batt_cap (AH)</t>
  </si>
  <si>
    <t>1500 MHD</t>
  </si>
  <si>
    <t>Unit_Power (kWh)</t>
  </si>
  <si>
    <t>Power</t>
  </si>
  <si>
    <t>Chem</t>
  </si>
  <si>
    <t>quantity</t>
  </si>
  <si>
    <t>Expo Prime</t>
  </si>
  <si>
    <t>Expo Gel</t>
  </si>
  <si>
    <t>Amonium Nitrate(ANFO)</t>
  </si>
  <si>
    <r>
      <t>CO</t>
    </r>
    <r>
      <rPr>
        <vertAlign val="subscript"/>
        <sz val="11"/>
        <rFont val="Calibri"/>
        <family val="2"/>
        <scheme val="minor"/>
      </rPr>
      <t xml:space="preserve">2 </t>
    </r>
    <r>
      <rPr>
        <sz val="11"/>
        <rFont val="Calibri"/>
        <family val="2"/>
        <scheme val="minor"/>
      </rPr>
      <t>Emission from production of Electric Arc Electrode</t>
    </r>
  </si>
  <si>
    <t>No of Cylinder</t>
  </si>
  <si>
    <t>DA</t>
  </si>
  <si>
    <t>Oxygen</t>
  </si>
  <si>
    <r>
      <t>CO</t>
    </r>
    <r>
      <rPr>
        <vertAlign val="subscript"/>
        <sz val="11"/>
        <rFont val="Calibri"/>
        <family val="2"/>
        <scheme val="minor"/>
      </rPr>
      <t xml:space="preserve">2 </t>
    </r>
    <r>
      <rPr>
        <sz val="11"/>
        <rFont val="Calibri"/>
        <family val="2"/>
        <scheme val="minor"/>
      </rPr>
      <t>Emission from burning oxy-acetylene cylinder for wielding</t>
    </r>
  </si>
  <si>
    <t>Weight_unit</t>
  </si>
  <si>
    <t>Total_Weight</t>
  </si>
  <si>
    <t>Electrode</t>
  </si>
  <si>
    <r>
      <t>CO</t>
    </r>
    <r>
      <rPr>
        <vertAlign val="subscript"/>
        <sz val="11"/>
        <color rgb="FFC00000"/>
        <rFont val="Calibri"/>
        <family val="2"/>
        <scheme val="minor"/>
      </rPr>
      <t xml:space="preserve">2 </t>
    </r>
    <r>
      <rPr>
        <sz val="11"/>
        <color rgb="FFC00000"/>
        <rFont val="Calibri"/>
        <family val="2"/>
        <scheme val="minor"/>
      </rPr>
      <t>Emission from production of oxy acetylene gas cylinders</t>
    </r>
  </si>
  <si>
    <t>No Emission Factor</t>
  </si>
  <si>
    <t>HPDE</t>
  </si>
  <si>
    <t>Dia (inch)</t>
  </si>
  <si>
    <t>Lenth (m)</t>
  </si>
  <si>
    <t>Total Length</t>
  </si>
  <si>
    <t>m</t>
  </si>
  <si>
    <t>Ore</t>
  </si>
  <si>
    <t>total</t>
  </si>
  <si>
    <t>ETP</t>
  </si>
  <si>
    <t>Amount_WW (KLY)</t>
  </si>
  <si>
    <t>Energy/ m3</t>
  </si>
  <si>
    <t>Total_energy (kWh)</t>
  </si>
  <si>
    <t>No emission Factor</t>
  </si>
  <si>
    <t xml:space="preserve">NaOH PELLETS </t>
  </si>
  <si>
    <t>CONC. H2SO4</t>
  </si>
  <si>
    <t xml:space="preserve">NACL </t>
  </si>
  <si>
    <t xml:space="preserve">HCL </t>
  </si>
  <si>
    <t xml:space="preserve">HF </t>
  </si>
  <si>
    <t xml:space="preserve">SODIUM CARBONATE </t>
  </si>
  <si>
    <t>NH4CL SALT</t>
  </si>
  <si>
    <t xml:space="preserve">AMMONIA SOLUTION </t>
  </si>
  <si>
    <t xml:space="preserve">POTASSIUM HYDROXIDE </t>
  </si>
  <si>
    <t xml:space="preserve">ETHANOL </t>
  </si>
  <si>
    <t xml:space="preserve">AMMONIA CHLORIDE </t>
  </si>
  <si>
    <t xml:space="preserve">NITRIC ACID </t>
  </si>
  <si>
    <t>Chemicals</t>
  </si>
  <si>
    <t>No_Samples</t>
  </si>
  <si>
    <t>Cons_Six_mnths</t>
  </si>
  <si>
    <t>Annual_Cons</t>
  </si>
  <si>
    <t>L</t>
  </si>
  <si>
    <t>g</t>
  </si>
  <si>
    <t>12 out of 22 chemicals have EF</t>
  </si>
  <si>
    <t>Mean Emission Factor</t>
  </si>
  <si>
    <t>Mean</t>
  </si>
  <si>
    <t>Ferrous Sulphate</t>
  </si>
  <si>
    <t>NaOH</t>
  </si>
  <si>
    <t>Cationic Polyelectrolyte</t>
  </si>
  <si>
    <t>Consumption (kg)</t>
  </si>
  <si>
    <t>No EF for polyelectrolyte</t>
  </si>
  <si>
    <t>HEMV</t>
  </si>
  <si>
    <t>LMV</t>
  </si>
  <si>
    <t>Distance</t>
  </si>
  <si>
    <t>Distance (km)</t>
  </si>
  <si>
    <t>HSD (lts)</t>
  </si>
  <si>
    <t xml:space="preserve">Not used </t>
  </si>
  <si>
    <t>Sl No</t>
  </si>
  <si>
    <t>24-4-23 TO 25-4-23</t>
  </si>
  <si>
    <t>RTO, BBSR</t>
  </si>
  <si>
    <t>24-5-23 TO 30-5-23</t>
  </si>
  <si>
    <t>RO,JK-ROAD</t>
  </si>
  <si>
    <t>DELHI</t>
  </si>
  <si>
    <t>6/23/2023</t>
  </si>
  <si>
    <t>6/27/2023</t>
  </si>
  <si>
    <t>IDCOL,BHUBANESWAR</t>
  </si>
  <si>
    <t>10-7-24 TO 15-7-23</t>
  </si>
  <si>
    <t>GANDHAMARDAN MINES, KEONJHAR</t>
  </si>
  <si>
    <t>7/27/2023</t>
  </si>
  <si>
    <t>IBM OFFICE, BHUBANESWAR</t>
  </si>
  <si>
    <t>21-08-2023 TO 24-8-23</t>
  </si>
  <si>
    <t>KODINGAMALI MINES</t>
  </si>
  <si>
    <t>09-9-23 TO 10-9-23</t>
  </si>
  <si>
    <t>SILICON COLLGE, BHUBANESWAR</t>
  </si>
  <si>
    <t>25-9-23 TO 28-9-23</t>
  </si>
  <si>
    <t>HO, BHUBANESWAR</t>
  </si>
  <si>
    <t>10/27/2023</t>
  </si>
  <si>
    <t>03-1-24 TO 8-1-24</t>
  </si>
  <si>
    <t>NAGPUR</t>
  </si>
  <si>
    <t>Place</t>
  </si>
  <si>
    <t>Pax</t>
  </si>
  <si>
    <t>Date</t>
  </si>
  <si>
    <t>27-5-23 To 3-6-23</t>
  </si>
  <si>
    <t>TRANS_LMV_EM</t>
  </si>
  <si>
    <r>
      <t>CO</t>
    </r>
    <r>
      <rPr>
        <vertAlign val="subscript"/>
        <sz val="11"/>
        <color theme="1"/>
        <rFont val="Calibri"/>
        <family val="2"/>
        <scheme val="minor"/>
      </rPr>
      <t xml:space="preserve">2 </t>
    </r>
    <r>
      <rPr>
        <sz val="11"/>
        <color theme="1"/>
        <rFont val="Calibri"/>
        <family val="2"/>
        <scheme val="minor"/>
      </rPr>
      <t>Emission from Business Travel using Plane</t>
    </r>
  </si>
  <si>
    <r>
      <t>CO</t>
    </r>
    <r>
      <rPr>
        <vertAlign val="subscript"/>
        <sz val="11"/>
        <color theme="1"/>
        <rFont val="Calibri"/>
        <family val="2"/>
        <scheme val="minor"/>
      </rPr>
      <t xml:space="preserve">2 </t>
    </r>
    <r>
      <rPr>
        <sz val="11"/>
        <color theme="1"/>
        <rFont val="Calibri"/>
        <family val="2"/>
        <scheme val="minor"/>
      </rPr>
      <t>Emission from Business Travel using LMV</t>
    </r>
  </si>
  <si>
    <t>Process</t>
  </si>
  <si>
    <t>DDM OFFICE, JAJPUR</t>
  </si>
  <si>
    <t>RO JK road</t>
  </si>
  <si>
    <t>Client</t>
  </si>
  <si>
    <t>6WHEELER</t>
  </si>
  <si>
    <t>Orissa Chrome Export and Mining Co. Ltd.</t>
  </si>
  <si>
    <t>Anand Exports</t>
  </si>
  <si>
    <t>MISRILALL MINES PVT. LTD.</t>
  </si>
  <si>
    <t>Visa Steel Ltd</t>
  </si>
  <si>
    <t>BHUBAN</t>
  </si>
  <si>
    <t>BHUBANESWAR</t>
  </si>
  <si>
    <t>GOLAGAON</t>
  </si>
  <si>
    <t>PANKAPAL</t>
  </si>
  <si>
    <t>JAKHAPURA</t>
  </si>
  <si>
    <t>JINDAL STAINLESS LIMITED</t>
  </si>
  <si>
    <t>DANAGADI</t>
  </si>
  <si>
    <t>PRIME INDUSTRIES</t>
  </si>
  <si>
    <t>RAHANJA</t>
  </si>
  <si>
    <t>Balasore Alloys Ltd</t>
  </si>
  <si>
    <t>BALASORE</t>
  </si>
  <si>
    <t>BC Mohanty and Sons Pvt Ltd</t>
  </si>
  <si>
    <t>SAGADAGULA</t>
  </si>
  <si>
    <t>JAI BALAJI INDUSTRIES LTD. UNIT-IV</t>
  </si>
  <si>
    <t>DURGAPUR</t>
  </si>
  <si>
    <t>JAKHAPUAR</t>
  </si>
  <si>
    <t>Misirlal Mines Pvt. Ltd</t>
  </si>
  <si>
    <t>KANHUPURA</t>
  </si>
  <si>
    <t>BALASORE ALLOYS LTD.</t>
  </si>
  <si>
    <t>A3 MINERALS AND METAL EXPORT PRIVATE LIMITED</t>
  </si>
  <si>
    <t>BYREE</t>
  </si>
  <si>
    <t>CHROME SAGAR</t>
  </si>
  <si>
    <t>MANGALPUR</t>
  </si>
  <si>
    <t>NATIONAL ISPAT AND POWER PVT. LTD.</t>
  </si>
  <si>
    <t>KHARMANGI</t>
  </si>
  <si>
    <t>FACOR Ltd</t>
  </si>
  <si>
    <t>RANDIA</t>
  </si>
  <si>
    <t>Shree Monolithics Pvt. Ltd.</t>
  </si>
  <si>
    <t>BHANDARIPOKHARI</t>
  </si>
  <si>
    <t>Matrix Ferro LLP</t>
  </si>
  <si>
    <t>MANDIA</t>
  </si>
  <si>
    <t>ARRK FERRO ALLOYS LLP</t>
  </si>
  <si>
    <t>SARUA CHANDIKHOL</t>
  </si>
  <si>
    <t>SUBHALAXMI MINERALS</t>
  </si>
  <si>
    <t>SOLEI JAJPUR</t>
  </si>
  <si>
    <t>KL Resources Pvt. Ltd.</t>
  </si>
  <si>
    <t>NEULPUR</t>
  </si>
  <si>
    <t>Sept</t>
  </si>
  <si>
    <t>INDIAN METALS and FERRO ALLOYS LIMITED</t>
  </si>
  <si>
    <t>CHOUDWAR</t>
  </si>
  <si>
    <t>SUKINDA</t>
  </si>
  <si>
    <t>Maharaja Minerals Pvt. Ltd.</t>
  </si>
  <si>
    <t>SOSO</t>
  </si>
  <si>
    <t>PJ MINERALS INTERNATIONAL PVT. LTD.</t>
  </si>
  <si>
    <t>HARIDASPUR</t>
  </si>
  <si>
    <t>BRG Iron and Steel</t>
  </si>
  <si>
    <t>KURUNTI</t>
  </si>
  <si>
    <t>SAGASADULA</t>
  </si>
  <si>
    <t>Shyam Metalics and Energy Ltd</t>
  </si>
  <si>
    <t>SAMBALPUR</t>
  </si>
  <si>
    <t>CHROME SAGAR PRIVATE LIMITED</t>
  </si>
  <si>
    <t>MANAGALPUR</t>
  </si>
  <si>
    <t>KURUNTI KAMAKSHYANAGAR</t>
  </si>
  <si>
    <t>DSAGADAGULA</t>
  </si>
  <si>
    <t>S.A.L. STEEL LTD.</t>
  </si>
  <si>
    <t>PARADEEP</t>
  </si>
  <si>
    <t>TRANS_12_14WHS_EM</t>
  </si>
  <si>
    <r>
      <t>CO</t>
    </r>
    <r>
      <rPr>
        <vertAlign val="subscript"/>
        <sz val="11"/>
        <color theme="1"/>
        <rFont val="Calibri"/>
        <family val="2"/>
        <scheme val="minor"/>
      </rPr>
      <t xml:space="preserve">2 </t>
    </r>
    <r>
      <rPr>
        <sz val="11"/>
        <color theme="1"/>
        <rFont val="Calibri"/>
        <family val="2"/>
        <scheme val="minor"/>
      </rPr>
      <t>Emission from transportation of product using 12/14 wheeler vehicles</t>
    </r>
  </si>
  <si>
    <t>14/12WHEELER</t>
  </si>
  <si>
    <t>ELOQUENT STEEL PVT. LTD.</t>
  </si>
  <si>
    <t>ASANSOL</t>
  </si>
  <si>
    <t>SURYA ALLOY INDUSTRIES LIMITED</t>
  </si>
  <si>
    <t>Jindal Stainless Ltd</t>
  </si>
  <si>
    <t>KOTHAVALSA</t>
  </si>
  <si>
    <t>METSIL EXPORTS PRIVATE LIMITED</t>
  </si>
  <si>
    <t>BARJORA</t>
  </si>
  <si>
    <t>KOTHAVALSHA</t>
  </si>
  <si>
    <t>14/12WHELLER</t>
  </si>
  <si>
    <t>Total Distance</t>
  </si>
  <si>
    <t>km</t>
  </si>
  <si>
    <t>Total_dist</t>
  </si>
  <si>
    <t>Km</t>
  </si>
  <si>
    <t>MIN_QC_TRANS_EM</t>
  </si>
  <si>
    <r>
      <t>CO</t>
    </r>
    <r>
      <rPr>
        <vertAlign val="subscript"/>
        <sz val="11"/>
        <color theme="1"/>
        <rFont val="Calibri"/>
        <family val="2"/>
        <scheme val="minor"/>
      </rPr>
      <t xml:space="preserve">2 </t>
    </r>
    <r>
      <rPr>
        <sz val="11"/>
        <color theme="1"/>
        <rFont val="Calibri"/>
        <family val="2"/>
        <scheme val="minor"/>
      </rPr>
      <t>Emission from transportation of mining samples to QC labs</t>
    </r>
  </si>
  <si>
    <t>CORE_QC_TRANS_EM</t>
  </si>
  <si>
    <r>
      <t>CO</t>
    </r>
    <r>
      <rPr>
        <vertAlign val="subscript"/>
        <sz val="11"/>
        <color theme="1"/>
        <rFont val="Calibri"/>
        <family val="2"/>
        <scheme val="minor"/>
      </rPr>
      <t xml:space="preserve">2 </t>
    </r>
    <r>
      <rPr>
        <sz val="11"/>
        <color theme="1"/>
        <rFont val="Calibri"/>
        <family val="2"/>
        <scheme val="minor"/>
      </rPr>
      <t>Emission from transportation of Core drilling samples to sample processing lab</t>
    </r>
  </si>
  <si>
    <t>CORE_TRANS_BB_EM</t>
  </si>
  <si>
    <r>
      <t>CO</t>
    </r>
    <r>
      <rPr>
        <vertAlign val="subscript"/>
        <sz val="11"/>
        <color theme="1"/>
        <rFont val="Calibri"/>
        <family val="2"/>
        <scheme val="minor"/>
      </rPr>
      <t xml:space="preserve">2 </t>
    </r>
    <r>
      <rPr>
        <sz val="11"/>
        <color theme="1"/>
        <rFont val="Calibri"/>
        <family val="2"/>
        <scheme val="minor"/>
      </rPr>
      <t>Emission from transportation of processed Core drilling samples to lab in bhubaneswar</t>
    </r>
  </si>
  <si>
    <t>Total_distance</t>
  </si>
  <si>
    <t>Bolero Camper (LMV)</t>
  </si>
  <si>
    <t>Bus</t>
  </si>
  <si>
    <t>Item</t>
  </si>
  <si>
    <t>Consumption</t>
  </si>
  <si>
    <t>LOADING SLIP</t>
  </si>
  <si>
    <t>ENVOLPE (MID)</t>
  </si>
  <si>
    <t>ENVLOPE ( BIG)</t>
  </si>
  <si>
    <t xml:space="preserve">A4 SIZE PAPER </t>
  </si>
  <si>
    <t>ENVOLPE (SMALL)</t>
  </si>
  <si>
    <t>L. B SOAP</t>
  </si>
  <si>
    <t>PAPER STRAW</t>
  </si>
  <si>
    <t>BANDAGE</t>
  </si>
  <si>
    <t>PHENYLE ( WHITE)</t>
  </si>
  <si>
    <t>FLY LEAF</t>
  </si>
  <si>
    <t>ENVLOPE CLOTH</t>
  </si>
  <si>
    <t>LIME</t>
  </si>
  <si>
    <t>PENCIL BATTERY</t>
  </si>
  <si>
    <t>9WT LED LAMP</t>
  </si>
  <si>
    <t>SURF 500G</t>
  </si>
  <si>
    <t>ODONIL</t>
  </si>
  <si>
    <t>WHEEL POWDER 1KG</t>
  </si>
  <si>
    <t>Pkt</t>
  </si>
  <si>
    <t>All item having consumption quantity more than 50 (yr) is considered. 5 out of 17 no EF</t>
  </si>
  <si>
    <t>Emission</t>
  </si>
  <si>
    <t>Kg CO2</t>
  </si>
  <si>
    <r>
      <t>Kg CO</t>
    </r>
    <r>
      <rPr>
        <vertAlign val="subscript"/>
        <sz val="11"/>
        <color theme="1"/>
        <rFont val="Calibri"/>
        <family val="2"/>
        <scheme val="minor"/>
      </rPr>
      <t>2</t>
    </r>
  </si>
  <si>
    <t>Total_emission</t>
  </si>
  <si>
    <t>T</t>
  </si>
  <si>
    <t>Total_emissions</t>
  </si>
  <si>
    <t>kg CO2</t>
  </si>
  <si>
    <t>kgCO2</t>
  </si>
  <si>
    <t>AC_R32_EM</t>
  </si>
  <si>
    <t>Total_Emissions</t>
  </si>
  <si>
    <t>Total Emissions</t>
  </si>
  <si>
    <t>Total_emission (kgCO2)</t>
  </si>
  <si>
    <t>ltrs</t>
  </si>
  <si>
    <t>STEEL_CYLIN_PROD_EM</t>
  </si>
  <si>
    <t>kg CO₂-eq/ kg of steel</t>
  </si>
  <si>
    <t>Weight of gas</t>
  </si>
  <si>
    <t>Total weight-gas</t>
  </si>
  <si>
    <t>Weight of cylinder</t>
  </si>
  <si>
    <t xml:space="preserve">A-line </t>
  </si>
  <si>
    <t>Volume of gas (m3)</t>
  </si>
  <si>
    <t>Tot_wt_cyln</t>
  </si>
  <si>
    <t>OXY_PROD_EM</t>
  </si>
  <si>
    <t>kg CO₂-eq/ kg of O2</t>
  </si>
  <si>
    <t>Weight of Cylinder</t>
  </si>
  <si>
    <t>Total_wt_cylin</t>
  </si>
  <si>
    <t>KgCO2</t>
  </si>
  <si>
    <t>Ferro_chrome</t>
  </si>
  <si>
    <t>Total_emisson</t>
  </si>
  <si>
    <t xml:space="preserve">kg CO₂-eq/kg FeCr </t>
  </si>
  <si>
    <t>Assumption 50% ore used in FeCr prod using SAF process</t>
  </si>
  <si>
    <t>Assumption 50% ore used in Steel prod</t>
  </si>
  <si>
    <t>Steel</t>
  </si>
  <si>
    <t>Annual_cons(kg)</t>
  </si>
  <si>
    <t>m3</t>
  </si>
  <si>
    <t>CHEM1_ETP_PROD_EM</t>
  </si>
  <si>
    <t>CHEM2_ETP_PROD_EM</t>
  </si>
  <si>
    <t>No emission factor for polyelectrolyte</t>
  </si>
  <si>
    <t>Total_emission(fuel)</t>
  </si>
  <si>
    <t>Total_emission (dist)</t>
  </si>
  <si>
    <t>Average 30 pax bus</t>
  </si>
  <si>
    <t>Tot_dist</t>
  </si>
  <si>
    <t>Total_Emission</t>
  </si>
  <si>
    <t>3.5 ton</t>
  </si>
  <si>
    <t>4-12 ton</t>
  </si>
  <si>
    <t>&gt;12 ton</t>
  </si>
  <si>
    <t>unit</t>
  </si>
  <si>
    <t>Wt (kg)</t>
  </si>
  <si>
    <t>kg CO2 /kg</t>
  </si>
  <si>
    <t>gCO2/straw</t>
  </si>
  <si>
    <t>kg COe2/batt</t>
  </si>
  <si>
    <t>gCO2/bandages</t>
  </si>
  <si>
    <t>kgCO2/kg</t>
  </si>
  <si>
    <t xml:space="preserve">kgCO2/kg </t>
  </si>
  <si>
    <t>Version Number</t>
  </si>
  <si>
    <t>Release Date</t>
  </si>
  <si>
    <t>GHG Alignments</t>
  </si>
  <si>
    <t>Data includes</t>
  </si>
  <si>
    <t>Check by</t>
  </si>
  <si>
    <t>Oc 2024</t>
  </si>
  <si>
    <t>IPCC</t>
  </si>
  <si>
    <t>GHG Protocol</t>
  </si>
  <si>
    <t>Emep-EEA-Guidebook</t>
  </si>
  <si>
    <t>USEPA- Air Emission Factors</t>
  </si>
  <si>
    <t>Original database for CF for Chromite mining</t>
  </si>
  <si>
    <t>Suvha Lama</t>
  </si>
  <si>
    <t>Created by</t>
  </si>
  <si>
    <t>Scope 3</t>
  </si>
  <si>
    <t>Scope 2</t>
  </si>
  <si>
    <t>Scope1</t>
  </si>
  <si>
    <t>Total Emission (KT/yr)</t>
  </si>
  <si>
    <t>Total_emission (kTCO2)</t>
  </si>
  <si>
    <r>
      <t xml:space="preserve">To model the increase in production from </t>
    </r>
    <r>
      <rPr>
        <b/>
        <sz val="11"/>
        <color theme="1"/>
        <rFont val="Calibri"/>
        <family val="2"/>
        <scheme val="minor"/>
      </rPr>
      <t>0.3 million tonnes</t>
    </r>
    <r>
      <rPr>
        <sz val="11"/>
        <color theme="1"/>
        <rFont val="Calibri"/>
        <family val="2"/>
        <scheme val="minor"/>
      </rPr>
      <t xml:space="preserve"> to </t>
    </r>
    <r>
      <rPr>
        <b/>
        <sz val="11"/>
        <color theme="1"/>
        <rFont val="Calibri"/>
        <family val="2"/>
        <scheme val="minor"/>
      </rPr>
      <t>0.9 million tonnes</t>
    </r>
    <r>
      <rPr>
        <sz val="11"/>
        <color theme="1"/>
        <rFont val="Calibri"/>
        <family val="2"/>
        <scheme val="minor"/>
      </rPr>
      <t xml:space="preserve"> of chromite ore, we need to identify the processes that will scale proportionally with production levels and those that may not increase linearly.</t>
    </r>
  </si>
  <si>
    <t>Key Assumptions</t>
  </si>
  <si>
    <t>Linear Scaling</t>
  </si>
  <si>
    <t>Some processes, such as energy use, fuel consumption, and ore transportation, will scale directly with the increase in production. This means that as production triples (from 0.3 to 0.9 million tonnes), these processes will see a proportional increase in activity.</t>
  </si>
  <si>
    <t>Non-Linear Scaling</t>
  </si>
  <si>
    <t>Some processes, like infrastructure operations (administration, employee commuting, etc.), may not scale in the same way as the core mining activities.</t>
  </si>
  <si>
    <t>Processes Directly impacted by scaling , we can use the scaling factor of  3 ( 0.9/0.3)</t>
  </si>
  <si>
    <t>CO2 Emission from burning of diesel fuels in Diesel Generators</t>
  </si>
  <si>
    <t>CO2 Emission from burning of LPG Fuel</t>
  </si>
  <si>
    <t>CO2 Emission from composting of organic waste</t>
  </si>
  <si>
    <t>CO2 Emission from use of explosives</t>
  </si>
  <si>
    <t>CO2 Emission from anaerobic digestion of overburden</t>
  </si>
  <si>
    <t>CO2 Emission from burning of diesel fuel in Heavy Earth Moving Vehicle</t>
  </si>
  <si>
    <t>CO2 Emission from burning of petrol fuel in Light Motor Vehicle</t>
  </si>
  <si>
    <t>CO2 Emission from burning of diesel fuel in Light Motor Vehicle</t>
  </si>
  <si>
    <t>CO2 Emission from burning of diesel for pumping of water</t>
  </si>
  <si>
    <t>CO2 Emission from burning of diesel fuels in Portable Diesel Generators</t>
  </si>
  <si>
    <t>CO2 Emission from Leakages of Refrigants</t>
  </si>
  <si>
    <t>CO2 Emission from burning oxy-acetylene cylinder for wielding</t>
  </si>
  <si>
    <t>CO2 Emission from burning of diesel fuel in Drilling machine</t>
  </si>
  <si>
    <t>CO2 Emission from use of lubricants in drilling</t>
  </si>
  <si>
    <t>CO2 Emission from consumption of electricity from the grid</t>
  </si>
  <si>
    <t>CO2 Emission from production of Diamond tipped Steel Drill bits</t>
  </si>
  <si>
    <t>CO2 Emission from production of lubricants used in  Drilling</t>
  </si>
  <si>
    <t>CO2 Emission from production of PVC boxes for storage</t>
  </si>
  <si>
    <t>CO2 Emission from production of Tyres of LMV</t>
  </si>
  <si>
    <t>CO2 Emission from production of Tyres of HEMV</t>
  </si>
  <si>
    <t>CO2 Emission from production of Lead-Acid Batteries</t>
  </si>
  <si>
    <t>CO2 Emission from production of ANFO explosives</t>
  </si>
  <si>
    <t>CO2 Emission from production of Electric Arc Electrode</t>
  </si>
  <si>
    <t>CO2 Emission from production of oxy acetylene gas cylinders</t>
  </si>
  <si>
    <t>CO2 Emission from production of HDPE pipes for 3m and 5 inch (dia)</t>
  </si>
  <si>
    <t>CO2 Emission from production of LPG cylinders</t>
  </si>
  <si>
    <t>CO2 Emission from production of ferro chrome alloy</t>
  </si>
  <si>
    <t>CO2 Emission from production of Steel</t>
  </si>
  <si>
    <t>CO2 Emission from use electricity in ETP</t>
  </si>
  <si>
    <t>CO2 Emission from production of chemicals used in Quality testing and control</t>
  </si>
  <si>
    <t>CO2 Emission from production of chemicals used ETP</t>
  </si>
  <si>
    <t>CO2 Emission from disposal of Tyres</t>
  </si>
  <si>
    <t>CO2 Emission from disposal of Lubricants</t>
  </si>
  <si>
    <t>CO2 Emission from commuting using 2-wheelers</t>
  </si>
  <si>
    <t>CO2 Emission from commuting using 4-wheelers</t>
  </si>
  <si>
    <t>CO2 Emission from commuting using Buses</t>
  </si>
  <si>
    <t>CO2 Emission from Business Travel using Plane</t>
  </si>
  <si>
    <t>CO2 Emission from Business Travel using LMV</t>
  </si>
  <si>
    <t>CO2 Emission from transportation of product using 6 wheeler vehicles</t>
  </si>
  <si>
    <t>CO2 Emission from transportation of product using 12/14 wheeler vehicles</t>
  </si>
  <si>
    <t>CO2 Emission from production of General items (stationary, medical etc) used in daily activites</t>
  </si>
  <si>
    <t>CO2 Emission from transportation of mining samples to QC labs</t>
  </si>
  <si>
    <t>CO2 Emission from transportation of Core drilling samples to sample processing lab</t>
  </si>
  <si>
    <t>CO2 Emission from transportation of processed Core drilling samples to lab in bhubaneswar</t>
  </si>
  <si>
    <t>Scaling Factor</t>
  </si>
  <si>
    <t>Processes Indirectly impacted by scaling, expert suggestion maybe assume &gt; 3</t>
  </si>
  <si>
    <t>Emission at 0.3 MTPA (kTonCO2/yr)</t>
  </si>
  <si>
    <t>Emission at 0.9 MTPA (kTonCO2/yr)</t>
  </si>
  <si>
    <t>Scope 1</t>
  </si>
  <si>
    <t>kTCO2/yr</t>
  </si>
  <si>
    <t>estimated</t>
  </si>
  <si>
    <t>Confirm</t>
  </si>
  <si>
    <t xml:space="preserve">Assumption </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</si>
</sst>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00"/>
    <numFmt numFmtId="165" formatCode="0.000000"/>
  </numFmts>
  <fonts count="13" x14ac:knownFonts="1">
    <font>
      <sz val="11"/>
      <color theme="1"/>
      <name val="Calibri"/>
      <family val="2"/>
      <scheme val="minor"/>
    </font>
    <font>
      <b/>
      <sz val="11"/>
      <color theme="1"/>
      <name val="Calibri"/>
      <family val="2"/>
      <scheme val="minor"/>
    </font>
    <font>
      <vertAlign val="subscript"/>
      <sz val="11"/>
      <color theme="1"/>
      <name val="Calibri"/>
      <family val="2"/>
      <scheme val="minor"/>
    </font>
    <font>
      <vertAlign val="superscript"/>
      <sz val="11"/>
      <color theme="1"/>
      <name val="Calibri"/>
      <family val="2"/>
      <scheme val="minor"/>
    </font>
    <font>
      <sz val="11"/>
      <name val="Calibri"/>
      <family val="2"/>
      <scheme val="minor"/>
    </font>
    <font>
      <sz val="11"/>
      <color rgb="FFC00000"/>
      <name val="Calibri"/>
      <family val="2"/>
      <scheme val="minor"/>
    </font>
    <font>
      <b/>
      <sz val="11"/>
      <color rgb="FF00B050"/>
      <name val="Calibri"/>
      <family val="2"/>
      <scheme val="minor"/>
    </font>
    <font>
      <b/>
      <sz val="11"/>
      <color rgb="FFC00000"/>
      <name val="Calibri"/>
      <family val="2"/>
      <scheme val="minor"/>
    </font>
    <font>
      <vertAlign val="subscript"/>
      <sz val="11"/>
      <color rgb="FFC00000"/>
      <name val="Calibri"/>
      <family val="2"/>
      <scheme val="minor"/>
    </font>
    <font>
      <vertAlign val="subscript"/>
      <sz val="11"/>
      <name val="Calibri"/>
      <family val="2"/>
      <scheme val="minor"/>
    </font>
    <font>
      <b/>
      <sz val="11"/>
      <color rgb="FFFFC000"/>
      <name val="Calibri"/>
      <family val="2"/>
      <scheme val="minor"/>
    </font>
    <font>
      <sz val="11"/>
      <color rgb="FF000000"/>
      <name val="Calibri"/>
      <family val="2"/>
      <scheme val="minor"/>
    </font>
    <font>
      <sz val="11"/>
      <color rgb="FFFF0000"/>
      <name val="Calibri"/>
      <family val="2"/>
      <scheme val="minor"/>
    </font>
  </fonts>
  <fills count="7">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9" tint="0.39997558519241921"/>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rgb="FF000000"/>
      </right>
      <top style="thin">
        <color indexed="64"/>
      </top>
      <bottom/>
      <diagonal/>
    </border>
    <border>
      <left style="thin">
        <color indexed="64"/>
      </left>
      <right/>
      <top style="thin">
        <color indexed="64"/>
      </top>
      <bottom style="thin">
        <color indexed="64"/>
      </bottom>
      <diagonal/>
    </border>
    <border>
      <left style="thin">
        <color indexed="64"/>
      </left>
      <right/>
      <top style="medium">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110">
    <xf numFmtId="0" fontId="0" fillId="0" borderId="0" xfId="0"/>
    <xf numFmtId="0" fontId="0" fillId="0" borderId="1" xfId="0" applyBorder="1"/>
    <xf numFmtId="0" fontId="0" fillId="2" borderId="1" xfId="0" applyFill="1" applyBorder="1"/>
    <xf numFmtId="0" fontId="0" fillId="0" borderId="2" xfId="0" applyFill="1" applyBorder="1"/>
    <xf numFmtId="0" fontId="0" fillId="0" borderId="1" xfId="0" applyFill="1" applyBorder="1"/>
    <xf numFmtId="0" fontId="0" fillId="3" borderId="1" xfId="0" applyFill="1" applyBorder="1"/>
    <xf numFmtId="17" fontId="1" fillId="0" borderId="1" xfId="0" applyNumberFormat="1" applyFont="1" applyBorder="1" applyAlignment="1">
      <alignment horizontal="center" vertical="center"/>
    </xf>
    <xf numFmtId="0" fontId="1" fillId="0" borderId="1" xfId="0" applyFont="1" applyBorder="1"/>
    <xf numFmtId="0" fontId="0" fillId="0" borderId="1" xfId="0" applyFont="1" applyBorder="1"/>
    <xf numFmtId="17" fontId="1" fillId="0" borderId="0" xfId="0" applyNumberFormat="1" applyFont="1" applyBorder="1" applyAlignment="1">
      <alignment horizontal="center" vertical="center"/>
    </xf>
    <xf numFmtId="0" fontId="0" fillId="0" borderId="0" xfId="0" applyFont="1" applyBorder="1"/>
    <xf numFmtId="0" fontId="1" fillId="0" borderId="1" xfId="0" applyFont="1" applyBorder="1" applyAlignment="1">
      <alignment horizontal="left" vertical="center"/>
    </xf>
    <xf numFmtId="0" fontId="1" fillId="0" borderId="1" xfId="0" applyFont="1" applyBorder="1" applyAlignment="1">
      <alignment horizontal="left" vertical="center" wrapText="1"/>
    </xf>
    <xf numFmtId="17" fontId="1" fillId="0" borderId="1" xfId="0" applyNumberFormat="1" applyFont="1" applyBorder="1" applyAlignment="1">
      <alignment horizontal="left" vertical="center"/>
    </xf>
    <xf numFmtId="0" fontId="0" fillId="0" borderId="1" xfId="0" applyFont="1" applyBorder="1" applyAlignment="1">
      <alignment horizontal="center"/>
    </xf>
    <xf numFmtId="0" fontId="0" fillId="0" borderId="1" xfId="0" applyFont="1" applyFill="1" applyBorder="1" applyAlignment="1">
      <alignment horizontal="center"/>
    </xf>
    <xf numFmtId="0" fontId="0" fillId="0" borderId="1" xfId="0" applyBorder="1" applyAlignment="1">
      <alignment horizontal="center"/>
    </xf>
    <xf numFmtId="0" fontId="0" fillId="0" borderId="1" xfId="0" applyFill="1" applyBorder="1" applyAlignment="1">
      <alignment horizontal="center"/>
    </xf>
    <xf numFmtId="0" fontId="4" fillId="0" borderId="0" xfId="0" applyFont="1"/>
    <xf numFmtId="0" fontId="5" fillId="0" borderId="0" xfId="0" applyFont="1"/>
    <xf numFmtId="0" fontId="1" fillId="0" borderId="0" xfId="0" applyFont="1"/>
    <xf numFmtId="0" fontId="6" fillId="0" borderId="0" xfId="0" applyFont="1"/>
    <xf numFmtId="0" fontId="7" fillId="0" borderId="0" xfId="0" applyFont="1"/>
    <xf numFmtId="0" fontId="0" fillId="0" borderId="3" xfId="0" applyBorder="1"/>
    <xf numFmtId="0" fontId="0" fillId="0" borderId="3" xfId="0" applyFill="1" applyBorder="1"/>
    <xf numFmtId="0" fontId="10" fillId="0" borderId="0" xfId="0" applyFont="1"/>
    <xf numFmtId="0" fontId="0" fillId="0" borderId="1" xfId="0" applyBorder="1" applyAlignment="1"/>
    <xf numFmtId="14" fontId="11" fillId="0" borderId="1" xfId="0" applyNumberFormat="1" applyFont="1" applyBorder="1" applyAlignment="1">
      <alignment horizontal="left" vertical="center"/>
    </xf>
    <xf numFmtId="0" fontId="11" fillId="0" borderId="1" xfId="0" applyFont="1" applyBorder="1" applyAlignment="1">
      <alignment horizontal="left"/>
    </xf>
    <xf numFmtId="14" fontId="11" fillId="0" borderId="1" xfId="0" applyNumberFormat="1" applyFont="1" applyBorder="1" applyAlignment="1">
      <alignment horizontal="left"/>
    </xf>
    <xf numFmtId="0" fontId="0" fillId="0" borderId="1" xfId="0" applyBorder="1" applyAlignment="1">
      <alignment horizontal="left"/>
    </xf>
    <xf numFmtId="0" fontId="0" fillId="0" borderId="0" xfId="0" applyAlignment="1">
      <alignment horizontal="left"/>
    </xf>
    <xf numFmtId="0" fontId="11" fillId="0" borderId="1" xfId="0" applyFont="1" applyBorder="1" applyAlignment="1">
      <alignment vertical="center"/>
    </xf>
    <xf numFmtId="0" fontId="11" fillId="0" borderId="1" xfId="0" applyFont="1" applyBorder="1" applyAlignment="1"/>
    <xf numFmtId="0" fontId="0" fillId="0" borderId="1" xfId="0" applyBorder="1" applyAlignment="1">
      <alignment vertical="center" wrapText="1"/>
    </xf>
    <xf numFmtId="0" fontId="0" fillId="0" borderId="0" xfId="0" applyAlignment="1"/>
    <xf numFmtId="0" fontId="0" fillId="0" borderId="4" xfId="0" applyBorder="1" applyAlignment="1">
      <alignment vertical="center" wrapText="1"/>
    </xf>
    <xf numFmtId="0" fontId="0" fillId="0" borderId="1" xfId="0" applyBorder="1" applyAlignment="1">
      <alignment vertical="center"/>
    </xf>
    <xf numFmtId="0" fontId="0" fillId="0" borderId="4" xfId="0" applyBorder="1" applyAlignment="1"/>
    <xf numFmtId="0" fontId="0" fillId="0" borderId="7" xfId="0" applyBorder="1" applyAlignment="1">
      <alignment vertical="center"/>
    </xf>
    <xf numFmtId="0" fontId="0" fillId="0" borderId="5" xfId="0" applyBorder="1" applyAlignment="1">
      <alignment vertical="center"/>
    </xf>
    <xf numFmtId="0" fontId="0" fillId="0" borderId="6" xfId="0" applyBorder="1" applyAlignment="1">
      <alignment vertical="center" wrapText="1"/>
    </xf>
    <xf numFmtId="0" fontId="0" fillId="0" borderId="4" xfId="0" applyBorder="1" applyAlignment="1">
      <alignment vertical="center"/>
    </xf>
    <xf numFmtId="0" fontId="0" fillId="0" borderId="1" xfId="0" applyBorder="1" applyAlignment="1">
      <alignment horizontal="right"/>
    </xf>
    <xf numFmtId="0" fontId="0" fillId="0" borderId="0" xfId="0" applyAlignment="1">
      <alignment horizontal="right"/>
    </xf>
    <xf numFmtId="0" fontId="0" fillId="0" borderId="4" xfId="0" applyBorder="1"/>
    <xf numFmtId="0" fontId="0" fillId="0" borderId="4" xfId="0" applyBorder="1" applyAlignment="1">
      <alignment vertical="top"/>
    </xf>
    <xf numFmtId="0" fontId="0" fillId="0" borderId="2" xfId="0" applyFill="1" applyBorder="1" applyAlignment="1"/>
    <xf numFmtId="0" fontId="0" fillId="0" borderId="1" xfId="0" applyFill="1" applyBorder="1" applyAlignment="1"/>
    <xf numFmtId="0" fontId="0" fillId="0" borderId="8" xfId="0" applyBorder="1" applyAlignment="1">
      <alignment horizontal="right"/>
    </xf>
    <xf numFmtId="0" fontId="0" fillId="0" borderId="8" xfId="0" applyBorder="1" applyAlignment="1">
      <alignment horizontal="right" vertical="center"/>
    </xf>
    <xf numFmtId="0" fontId="0" fillId="0" borderId="9" xfId="0" applyBorder="1" applyAlignment="1">
      <alignment horizontal="right" vertical="center"/>
    </xf>
    <xf numFmtId="0" fontId="0" fillId="0" borderId="8" xfId="0" applyBorder="1" applyAlignment="1"/>
    <xf numFmtId="0" fontId="0" fillId="0" borderId="8" xfId="0" applyBorder="1"/>
    <xf numFmtId="0" fontId="0" fillId="0" borderId="1" xfId="0" applyFill="1" applyBorder="1" applyAlignment="1">
      <alignment horizontal="right"/>
    </xf>
    <xf numFmtId="0" fontId="5" fillId="0" borderId="1" xfId="0" applyFont="1" applyBorder="1"/>
    <xf numFmtId="0" fontId="1" fillId="0" borderId="1" xfId="0" applyFont="1" applyFill="1" applyBorder="1"/>
    <xf numFmtId="2" fontId="0" fillId="0" borderId="1" xfId="0" applyNumberFormat="1" applyBorder="1"/>
    <xf numFmtId="2" fontId="0" fillId="0" borderId="0" xfId="0" applyNumberFormat="1"/>
    <xf numFmtId="0" fontId="0" fillId="4" borderId="1" xfId="0" applyFill="1" applyBorder="1"/>
    <xf numFmtId="0" fontId="0" fillId="5" borderId="1" xfId="0" applyFill="1" applyBorder="1"/>
    <xf numFmtId="0" fontId="0" fillId="6" borderId="1" xfId="0" applyFill="1" applyBorder="1"/>
    <xf numFmtId="0" fontId="0" fillId="6" borderId="2" xfId="0" applyFill="1" applyBorder="1"/>
    <xf numFmtId="0" fontId="0" fillId="2" borderId="4" xfId="0" applyFill="1" applyBorder="1"/>
    <xf numFmtId="0" fontId="0" fillId="0" borderId="1" xfId="0" applyFont="1" applyFill="1" applyBorder="1"/>
    <xf numFmtId="0" fontId="0" fillId="0" borderId="4" xfId="0" applyFill="1" applyBorder="1"/>
    <xf numFmtId="0" fontId="0" fillId="0" borderId="11" xfId="0" applyBorder="1" applyAlignment="1">
      <alignment horizontal="center" wrapText="1"/>
    </xf>
    <xf numFmtId="0" fontId="0" fillId="0" borderId="18" xfId="0" applyBorder="1" applyAlignment="1">
      <alignment horizontal="center" wrapText="1"/>
    </xf>
    <xf numFmtId="0" fontId="0" fillId="0" borderId="19" xfId="0" applyBorder="1" applyAlignment="1">
      <alignment horizontal="center" wrapText="1"/>
    </xf>
    <xf numFmtId="164" fontId="0" fillId="0" borderId="0" xfId="0" applyNumberFormat="1"/>
    <xf numFmtId="0" fontId="0" fillId="2" borderId="0" xfId="0" applyFill="1"/>
    <xf numFmtId="2" fontId="0" fillId="2" borderId="0" xfId="0" applyNumberFormat="1" applyFill="1"/>
    <xf numFmtId="165" fontId="0" fillId="0" borderId="0" xfId="0" applyNumberFormat="1"/>
    <xf numFmtId="0" fontId="0" fillId="0" borderId="0" xfId="0" applyFill="1"/>
    <xf numFmtId="2" fontId="0" fillId="0" borderId="0" xfId="0" applyNumberFormat="1" applyFill="1"/>
    <xf numFmtId="0" fontId="0" fillId="0" borderId="0" xfId="0" applyAlignment="1">
      <alignment vertical="top"/>
    </xf>
    <xf numFmtId="0" fontId="0" fillId="0" borderId="0" xfId="0" applyAlignment="1">
      <alignment wrapText="1"/>
    </xf>
    <xf numFmtId="0" fontId="0" fillId="0" borderId="0" xfId="0" applyAlignment="1">
      <alignment vertical="top" wrapText="1"/>
    </xf>
    <xf numFmtId="0" fontId="1" fillId="0" borderId="0" xfId="0" applyFont="1" applyAlignment="1">
      <alignment vertical="top"/>
    </xf>
    <xf numFmtId="0" fontId="1" fillId="0" borderId="0" xfId="0" applyFont="1" applyAlignment="1">
      <alignment vertical="top" wrapText="1"/>
    </xf>
    <xf numFmtId="0" fontId="0" fillId="0" borderId="1" xfId="0" applyBorder="1" applyAlignment="1">
      <alignment vertical="top"/>
    </xf>
    <xf numFmtId="0" fontId="0" fillId="0" borderId="1" xfId="0" applyBorder="1" applyAlignment="1">
      <alignment wrapText="1"/>
    </xf>
    <xf numFmtId="0" fontId="12" fillId="0" borderId="0" xfId="0" applyFont="1"/>
    <xf numFmtId="0" fontId="0" fillId="0" borderId="1" xfId="0" applyBorder="1" applyAlignment="1">
      <alignment vertical="top" wrapText="1"/>
    </xf>
    <xf numFmtId="0" fontId="1" fillId="0" borderId="1" xfId="0" applyFont="1" applyBorder="1" applyAlignment="1">
      <alignment vertical="top"/>
    </xf>
    <xf numFmtId="0" fontId="1" fillId="0" borderId="1" xfId="0" applyFont="1" applyBorder="1" applyAlignment="1">
      <alignment vertical="top" wrapText="1"/>
    </xf>
    <xf numFmtId="2" fontId="12" fillId="0" borderId="0" xfId="0" applyNumberFormat="1" applyFont="1"/>
    <xf numFmtId="0" fontId="0" fillId="0" borderId="1" xfId="0" applyBorder="1" applyAlignment="1">
      <alignment horizontal="center"/>
    </xf>
    <xf numFmtId="0" fontId="0" fillId="0" borderId="8" xfId="0" applyBorder="1" applyAlignment="1">
      <alignment horizontal="center"/>
    </xf>
    <xf numFmtId="0" fontId="0" fillId="0" borderId="12" xfId="0" applyBorder="1" applyAlignment="1">
      <alignment horizontal="center"/>
    </xf>
    <xf numFmtId="0" fontId="0" fillId="0" borderId="13" xfId="0" applyBorder="1" applyAlignment="1">
      <alignment horizontal="center"/>
    </xf>
    <xf numFmtId="0" fontId="0" fillId="0" borderId="14" xfId="0" applyBorder="1" applyAlignment="1">
      <alignment horizontal="center" vertical="center"/>
    </xf>
    <xf numFmtId="0" fontId="0" fillId="0" borderId="15" xfId="0" applyBorder="1" applyAlignment="1">
      <alignment horizontal="center" vertical="center"/>
    </xf>
    <xf numFmtId="0" fontId="0" fillId="0" borderId="16" xfId="0" applyBorder="1" applyAlignment="1">
      <alignment horizontal="center" vertical="center"/>
    </xf>
    <xf numFmtId="0" fontId="0" fillId="0" borderId="10" xfId="0" applyBorder="1" applyAlignment="1">
      <alignment horizontal="center" vertical="center"/>
    </xf>
    <xf numFmtId="0" fontId="0" fillId="0" borderId="0" xfId="0" applyBorder="1" applyAlignment="1">
      <alignment horizontal="center" vertical="center"/>
    </xf>
    <xf numFmtId="0" fontId="0" fillId="0" borderId="17" xfId="0" applyBorder="1" applyAlignment="1">
      <alignment horizontal="center" vertical="center"/>
    </xf>
    <xf numFmtId="0" fontId="0" fillId="0" borderId="11" xfId="0" applyBorder="1" applyAlignment="1">
      <alignment horizontal="center" vertical="center"/>
    </xf>
    <xf numFmtId="0" fontId="0" fillId="0" borderId="18" xfId="0" applyBorder="1" applyAlignment="1">
      <alignment horizontal="center" vertical="center"/>
    </xf>
    <xf numFmtId="0" fontId="0" fillId="0" borderId="19" xfId="0" applyBorder="1" applyAlignment="1">
      <alignment horizontal="center" vertical="center"/>
    </xf>
    <xf numFmtId="0" fontId="0" fillId="0" borderId="14" xfId="0" applyBorder="1" applyAlignment="1">
      <alignment horizontal="center" wrapText="1"/>
    </xf>
    <xf numFmtId="0" fontId="0" fillId="0" borderId="15" xfId="0" applyBorder="1" applyAlignment="1">
      <alignment horizontal="center" wrapText="1"/>
    </xf>
    <xf numFmtId="0" fontId="0" fillId="0" borderId="16" xfId="0" applyBorder="1" applyAlignment="1">
      <alignment horizontal="center" wrapText="1"/>
    </xf>
    <xf numFmtId="0" fontId="0" fillId="0" borderId="11" xfId="0" applyBorder="1" applyAlignment="1">
      <alignment horizontal="center" wrapText="1"/>
    </xf>
    <xf numFmtId="0" fontId="0" fillId="0" borderId="18" xfId="0" applyBorder="1" applyAlignment="1">
      <alignment horizontal="center" wrapText="1"/>
    </xf>
    <xf numFmtId="0" fontId="0" fillId="0" borderId="19" xfId="0" applyBorder="1" applyAlignment="1">
      <alignment horizontal="center" wrapText="1"/>
    </xf>
    <xf numFmtId="0" fontId="0" fillId="0" borderId="4" xfId="0" applyBorder="1" applyAlignment="1">
      <alignment horizontal="left"/>
    </xf>
    <xf numFmtId="0" fontId="0" fillId="0" borderId="2" xfId="0" applyBorder="1" applyAlignment="1">
      <alignment horizontal="left"/>
    </xf>
    <xf numFmtId="0" fontId="0" fillId="0" borderId="3" xfId="0" applyBorder="1" applyAlignment="1">
      <alignment horizontal="left"/>
    </xf>
    <xf numFmtId="0" fontId="0" fillId="0" borderId="0" xfId="0"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8" Type="http://schemas.openxmlformats.org/officeDocument/2006/relationships/worksheet" Target="worksheets/sheet8.xml"/><Relationship Id="rId51"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13</xdr:col>
      <xdr:colOff>219075</xdr:colOff>
      <xdr:row>22</xdr:row>
      <xdr:rowOff>171450</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8143875" cy="43624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5:G35"/>
  <sheetViews>
    <sheetView showGridLines="0" topLeftCell="A7" workbookViewId="0">
      <selection activeCell="P20" sqref="P20"/>
    </sheetView>
  </sheetViews>
  <sheetFormatPr defaultRowHeight="15" x14ac:dyDescent="0.25"/>
  <sheetData>
    <row r="25" spans="1:7" x14ac:dyDescent="0.25">
      <c r="A25" s="87" t="s">
        <v>572</v>
      </c>
      <c r="B25" s="87"/>
      <c r="C25" s="87"/>
      <c r="D25" s="87"/>
      <c r="E25" s="87">
        <v>1.1000000000000001</v>
      </c>
      <c r="F25" s="87"/>
      <c r="G25" s="87"/>
    </row>
    <row r="26" spans="1:7" x14ac:dyDescent="0.25">
      <c r="A26" s="87" t="s">
        <v>573</v>
      </c>
      <c r="B26" s="87"/>
      <c r="C26" s="87"/>
      <c r="D26" s="87"/>
      <c r="E26" s="87" t="s">
        <v>577</v>
      </c>
      <c r="F26" s="87"/>
      <c r="G26" s="87"/>
    </row>
    <row r="27" spans="1:7" x14ac:dyDescent="0.25">
      <c r="A27" s="91" t="s">
        <v>574</v>
      </c>
      <c r="B27" s="92"/>
      <c r="C27" s="92"/>
      <c r="D27" s="93"/>
      <c r="E27" s="87" t="s">
        <v>578</v>
      </c>
      <c r="F27" s="87"/>
      <c r="G27" s="87"/>
    </row>
    <row r="28" spans="1:7" x14ac:dyDescent="0.25">
      <c r="A28" s="94"/>
      <c r="B28" s="95"/>
      <c r="C28" s="95"/>
      <c r="D28" s="96"/>
      <c r="E28" s="87" t="s">
        <v>579</v>
      </c>
      <c r="F28" s="87"/>
      <c r="G28" s="87"/>
    </row>
    <row r="29" spans="1:7" x14ac:dyDescent="0.25">
      <c r="A29" s="94"/>
      <c r="B29" s="95"/>
      <c r="C29" s="95"/>
      <c r="D29" s="96"/>
      <c r="E29" s="88" t="s">
        <v>580</v>
      </c>
      <c r="F29" s="89"/>
      <c r="G29" s="90"/>
    </row>
    <row r="30" spans="1:7" x14ac:dyDescent="0.25">
      <c r="A30" s="97"/>
      <c r="B30" s="98"/>
      <c r="C30" s="98"/>
      <c r="D30" s="99"/>
      <c r="E30" s="88" t="s">
        <v>581</v>
      </c>
      <c r="F30" s="89"/>
      <c r="G30" s="90"/>
    </row>
    <row r="31" spans="1:7" x14ac:dyDescent="0.25">
      <c r="A31" s="91" t="s">
        <v>575</v>
      </c>
      <c r="B31" s="92"/>
      <c r="C31" s="92"/>
      <c r="D31" s="93"/>
      <c r="E31" s="100" t="s">
        <v>582</v>
      </c>
      <c r="F31" s="101"/>
      <c r="G31" s="102"/>
    </row>
    <row r="32" spans="1:7" x14ac:dyDescent="0.25">
      <c r="A32" s="94"/>
      <c r="B32" s="95"/>
      <c r="C32" s="95"/>
      <c r="D32" s="96"/>
      <c r="E32" s="103"/>
      <c r="F32" s="104"/>
      <c r="G32" s="105"/>
    </row>
    <row r="33" spans="1:7" x14ac:dyDescent="0.25">
      <c r="A33" s="97"/>
      <c r="B33" s="98"/>
      <c r="C33" s="98"/>
      <c r="D33" s="99"/>
      <c r="E33" s="66"/>
      <c r="F33" s="67"/>
      <c r="G33" s="68"/>
    </row>
    <row r="34" spans="1:7" x14ac:dyDescent="0.25">
      <c r="A34" s="87" t="s">
        <v>584</v>
      </c>
      <c r="B34" s="87"/>
      <c r="C34" s="87"/>
      <c r="D34" s="87"/>
      <c r="E34" s="87" t="s">
        <v>583</v>
      </c>
      <c r="F34" s="87"/>
      <c r="G34" s="87"/>
    </row>
    <row r="35" spans="1:7" x14ac:dyDescent="0.25">
      <c r="A35" s="87" t="s">
        <v>576</v>
      </c>
      <c r="B35" s="87"/>
      <c r="C35" s="87"/>
      <c r="D35" s="87"/>
      <c r="E35" s="87"/>
      <c r="F35" s="87"/>
      <c r="G35" s="87"/>
    </row>
  </sheetData>
  <mergeCells count="15">
    <mergeCell ref="E34:G34"/>
    <mergeCell ref="E35:G35"/>
    <mergeCell ref="E29:G29"/>
    <mergeCell ref="A27:D30"/>
    <mergeCell ref="E30:G30"/>
    <mergeCell ref="E31:G32"/>
    <mergeCell ref="A31:D33"/>
    <mergeCell ref="A34:D34"/>
    <mergeCell ref="A35:D35"/>
    <mergeCell ref="E25:G25"/>
    <mergeCell ref="E26:G26"/>
    <mergeCell ref="E27:G27"/>
    <mergeCell ref="E28:G28"/>
    <mergeCell ref="A25:D25"/>
    <mergeCell ref="A26:D2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6"/>
  <sheetViews>
    <sheetView zoomScale="85" zoomScaleNormal="85" workbookViewId="0">
      <selection activeCell="C18" sqref="C18"/>
    </sheetView>
  </sheetViews>
  <sheetFormatPr defaultRowHeight="15" x14ac:dyDescent="0.25"/>
  <cols>
    <col min="2" max="2" width="21.5703125" style="20" bestFit="1" customWidth="1"/>
    <col min="3" max="3" width="86.28515625" bestFit="1" customWidth="1"/>
    <col min="4" max="4" width="8.28515625" bestFit="1" customWidth="1"/>
  </cols>
  <sheetData>
    <row r="1" spans="1:5" x14ac:dyDescent="0.25">
      <c r="A1" t="s">
        <v>13</v>
      </c>
      <c r="B1" s="20" t="s">
        <v>0</v>
      </c>
      <c r="C1" t="s">
        <v>1</v>
      </c>
      <c r="D1" t="s">
        <v>2</v>
      </c>
    </row>
    <row r="2" spans="1:5" ht="18" x14ac:dyDescent="0.35">
      <c r="A2">
        <v>1</v>
      </c>
      <c r="B2" s="21" t="s">
        <v>27</v>
      </c>
      <c r="C2" t="s">
        <v>3</v>
      </c>
      <c r="D2" t="s">
        <v>4</v>
      </c>
    </row>
    <row r="3" spans="1:5" ht="18" x14ac:dyDescent="0.35">
      <c r="A3">
        <v>2</v>
      </c>
      <c r="B3" s="21" t="s">
        <v>28</v>
      </c>
      <c r="C3" t="s">
        <v>5</v>
      </c>
      <c r="D3" t="s">
        <v>4</v>
      </c>
    </row>
    <row r="4" spans="1:5" ht="18" x14ac:dyDescent="0.35">
      <c r="A4">
        <v>3</v>
      </c>
      <c r="B4" s="21" t="s">
        <v>7</v>
      </c>
      <c r="C4" t="s">
        <v>8</v>
      </c>
      <c r="D4" t="s">
        <v>4</v>
      </c>
    </row>
    <row r="5" spans="1:5" ht="18" x14ac:dyDescent="0.35">
      <c r="A5">
        <v>4</v>
      </c>
      <c r="B5" s="22" t="s">
        <v>9</v>
      </c>
      <c r="C5" s="19" t="s">
        <v>313</v>
      </c>
      <c r="D5" t="s">
        <v>4</v>
      </c>
      <c r="E5" t="s">
        <v>346</v>
      </c>
    </row>
    <row r="6" spans="1:5" ht="18" x14ac:dyDescent="0.35">
      <c r="A6">
        <v>5</v>
      </c>
      <c r="B6" s="21" t="s">
        <v>10</v>
      </c>
      <c r="C6" t="s">
        <v>11</v>
      </c>
      <c r="D6" t="s">
        <v>4</v>
      </c>
    </row>
    <row r="7" spans="1:5" ht="18" x14ac:dyDescent="0.35">
      <c r="A7">
        <v>6</v>
      </c>
      <c r="B7" s="21" t="s">
        <v>29</v>
      </c>
      <c r="C7" t="s">
        <v>12</v>
      </c>
      <c r="D7" t="s">
        <v>4</v>
      </c>
    </row>
    <row r="8" spans="1:5" ht="18" x14ac:dyDescent="0.35">
      <c r="A8">
        <v>7</v>
      </c>
      <c r="B8" s="21" t="s">
        <v>15</v>
      </c>
      <c r="C8" t="s">
        <v>17</v>
      </c>
      <c r="D8" t="s">
        <v>4</v>
      </c>
    </row>
    <row r="9" spans="1:5" ht="18" x14ac:dyDescent="0.35">
      <c r="A9">
        <v>8</v>
      </c>
      <c r="B9" s="21" t="s">
        <v>16</v>
      </c>
      <c r="C9" t="s">
        <v>14</v>
      </c>
      <c r="D9" t="s">
        <v>4</v>
      </c>
    </row>
    <row r="10" spans="1:5" ht="18" x14ac:dyDescent="0.35">
      <c r="A10">
        <v>9</v>
      </c>
      <c r="B10" s="21" t="s">
        <v>157</v>
      </c>
      <c r="C10" t="s">
        <v>158</v>
      </c>
      <c r="D10" t="s">
        <v>4</v>
      </c>
    </row>
    <row r="11" spans="1:5" ht="18" x14ac:dyDescent="0.35">
      <c r="A11">
        <v>10</v>
      </c>
      <c r="B11" s="21" t="s">
        <v>233</v>
      </c>
      <c r="C11" t="s">
        <v>234</v>
      </c>
      <c r="D11" t="s">
        <v>4</v>
      </c>
    </row>
    <row r="12" spans="1:5" ht="18" x14ac:dyDescent="0.35">
      <c r="A12">
        <v>11</v>
      </c>
      <c r="B12" s="21" t="s">
        <v>18</v>
      </c>
      <c r="C12" t="s">
        <v>19</v>
      </c>
      <c r="D12" t="s">
        <v>4</v>
      </c>
    </row>
    <row r="13" spans="1:5" ht="18" x14ac:dyDescent="0.35">
      <c r="A13">
        <v>12</v>
      </c>
      <c r="B13" s="21" t="s">
        <v>20</v>
      </c>
      <c r="C13" s="18" t="s">
        <v>329</v>
      </c>
      <c r="D13" t="s">
        <v>4</v>
      </c>
    </row>
    <row r="14" spans="1:5" ht="18" x14ac:dyDescent="0.35">
      <c r="A14">
        <v>13</v>
      </c>
      <c r="B14" s="21" t="s">
        <v>280</v>
      </c>
      <c r="C14" t="s">
        <v>281</v>
      </c>
      <c r="D14" t="s">
        <v>4</v>
      </c>
    </row>
    <row r="15" spans="1:5" ht="18" x14ac:dyDescent="0.35">
      <c r="A15">
        <v>14</v>
      </c>
      <c r="B15" s="21" t="s">
        <v>21</v>
      </c>
      <c r="C15" t="s">
        <v>22</v>
      </c>
      <c r="D15" t="s">
        <v>4</v>
      </c>
    </row>
    <row r="16" spans="1:5" ht="18" x14ac:dyDescent="0.35">
      <c r="A16">
        <v>15</v>
      </c>
      <c r="B16" s="21" t="s">
        <v>24</v>
      </c>
      <c r="C16" t="s">
        <v>25</v>
      </c>
      <c r="D16" t="s">
        <v>6</v>
      </c>
    </row>
    <row r="17" spans="1:5" ht="18" x14ac:dyDescent="0.35">
      <c r="A17">
        <v>16</v>
      </c>
      <c r="B17" s="21" t="s">
        <v>26</v>
      </c>
      <c r="C17" t="s">
        <v>31</v>
      </c>
      <c r="D17" t="s">
        <v>23</v>
      </c>
    </row>
    <row r="18" spans="1:5" ht="18" x14ac:dyDescent="0.35">
      <c r="A18">
        <v>17</v>
      </c>
      <c r="B18" s="21" t="s">
        <v>30</v>
      </c>
      <c r="C18" t="s">
        <v>35</v>
      </c>
      <c r="D18" t="s">
        <v>23</v>
      </c>
    </row>
    <row r="19" spans="1:5" ht="18" x14ac:dyDescent="0.35">
      <c r="A19">
        <v>18</v>
      </c>
      <c r="B19" s="21" t="s">
        <v>32</v>
      </c>
      <c r="C19" t="s">
        <v>33</v>
      </c>
      <c r="D19" t="s">
        <v>23</v>
      </c>
    </row>
    <row r="20" spans="1:5" ht="18" x14ac:dyDescent="0.35">
      <c r="A20">
        <v>19</v>
      </c>
      <c r="B20" s="21" t="s">
        <v>37</v>
      </c>
      <c r="C20" t="s">
        <v>39</v>
      </c>
      <c r="D20" t="s">
        <v>23</v>
      </c>
    </row>
    <row r="21" spans="1:5" ht="18" x14ac:dyDescent="0.35">
      <c r="A21">
        <v>20</v>
      </c>
      <c r="B21" s="22" t="s">
        <v>38</v>
      </c>
      <c r="C21" s="19" t="s">
        <v>314</v>
      </c>
      <c r="D21" t="s">
        <v>23</v>
      </c>
      <c r="E21" t="s">
        <v>312</v>
      </c>
    </row>
    <row r="22" spans="1:5" ht="18" x14ac:dyDescent="0.35">
      <c r="A22">
        <v>21</v>
      </c>
      <c r="B22" s="21" t="s">
        <v>40</v>
      </c>
      <c r="C22" t="s">
        <v>41</v>
      </c>
      <c r="D22" t="s">
        <v>23</v>
      </c>
    </row>
    <row r="23" spans="1:5" ht="18" x14ac:dyDescent="0.35">
      <c r="A23">
        <v>22</v>
      </c>
      <c r="B23" s="21" t="s">
        <v>42</v>
      </c>
      <c r="C23" t="s">
        <v>43</v>
      </c>
      <c r="D23" t="s">
        <v>23</v>
      </c>
    </row>
    <row r="24" spans="1:5" ht="18" x14ac:dyDescent="0.35">
      <c r="A24">
        <v>23</v>
      </c>
      <c r="B24" s="21" t="s">
        <v>44</v>
      </c>
      <c r="C24" s="18" t="s">
        <v>325</v>
      </c>
      <c r="D24" t="s">
        <v>23</v>
      </c>
    </row>
    <row r="25" spans="1:5" ht="18" x14ac:dyDescent="0.35">
      <c r="A25">
        <v>24</v>
      </c>
      <c r="B25" s="22" t="s">
        <v>45</v>
      </c>
      <c r="C25" s="19" t="s">
        <v>333</v>
      </c>
      <c r="D25" t="s">
        <v>23</v>
      </c>
      <c r="E25" t="s">
        <v>334</v>
      </c>
    </row>
    <row r="26" spans="1:5" ht="18" x14ac:dyDescent="0.35">
      <c r="A26">
        <v>25</v>
      </c>
      <c r="B26" s="21" t="s">
        <v>48</v>
      </c>
      <c r="C26" t="s">
        <v>46</v>
      </c>
      <c r="D26" t="s">
        <v>23</v>
      </c>
    </row>
    <row r="27" spans="1:5" ht="18" x14ac:dyDescent="0.35">
      <c r="A27">
        <v>26</v>
      </c>
      <c r="B27" s="21" t="s">
        <v>47</v>
      </c>
      <c r="C27" t="s">
        <v>49</v>
      </c>
      <c r="D27" t="s">
        <v>23</v>
      </c>
    </row>
    <row r="28" spans="1:5" ht="18" x14ac:dyDescent="0.35">
      <c r="A28">
        <v>27</v>
      </c>
      <c r="B28" s="21" t="s">
        <v>50</v>
      </c>
      <c r="C28" t="s">
        <v>53</v>
      </c>
      <c r="D28" t="s">
        <v>23</v>
      </c>
    </row>
    <row r="29" spans="1:5" ht="18" x14ac:dyDescent="0.35">
      <c r="A29">
        <v>28</v>
      </c>
      <c r="B29" s="21" t="s">
        <v>51</v>
      </c>
      <c r="C29" t="s">
        <v>54</v>
      </c>
      <c r="D29" t="s">
        <v>23</v>
      </c>
    </row>
    <row r="30" spans="1:5" ht="18" x14ac:dyDescent="0.35">
      <c r="A30">
        <v>29</v>
      </c>
      <c r="B30" s="21" t="s">
        <v>52</v>
      </c>
      <c r="C30" t="s">
        <v>55</v>
      </c>
      <c r="D30" t="s">
        <v>23</v>
      </c>
    </row>
    <row r="31" spans="1:5" ht="18" x14ac:dyDescent="0.35">
      <c r="A31">
        <v>30</v>
      </c>
      <c r="B31" s="21" t="s">
        <v>56</v>
      </c>
      <c r="C31" t="s">
        <v>57</v>
      </c>
      <c r="D31" t="s">
        <v>23</v>
      </c>
    </row>
    <row r="32" spans="1:5" ht="18" x14ac:dyDescent="0.35">
      <c r="A32">
        <v>31</v>
      </c>
      <c r="B32" s="25" t="s">
        <v>58</v>
      </c>
      <c r="C32" t="s">
        <v>60</v>
      </c>
      <c r="D32" t="s">
        <v>23</v>
      </c>
      <c r="E32" t="s">
        <v>365</v>
      </c>
    </row>
    <row r="33" spans="1:5" ht="18" x14ac:dyDescent="0.35">
      <c r="A33">
        <v>32</v>
      </c>
      <c r="B33" s="25" t="s">
        <v>59</v>
      </c>
      <c r="C33" t="s">
        <v>61</v>
      </c>
      <c r="D33" t="s">
        <v>23</v>
      </c>
      <c r="E33" t="s">
        <v>372</v>
      </c>
    </row>
    <row r="34" spans="1:5" ht="18" x14ac:dyDescent="0.35">
      <c r="A34">
        <v>33</v>
      </c>
      <c r="B34" s="25" t="s">
        <v>62</v>
      </c>
      <c r="C34" t="s">
        <v>63</v>
      </c>
      <c r="D34" t="s">
        <v>23</v>
      </c>
      <c r="E34" t="s">
        <v>312</v>
      </c>
    </row>
    <row r="35" spans="1:5" ht="18" x14ac:dyDescent="0.35">
      <c r="A35">
        <v>34</v>
      </c>
      <c r="B35" s="21" t="s">
        <v>64</v>
      </c>
      <c r="C35" t="s">
        <v>76</v>
      </c>
      <c r="D35" t="s">
        <v>23</v>
      </c>
    </row>
    <row r="36" spans="1:5" ht="18" x14ac:dyDescent="0.35">
      <c r="A36">
        <v>35</v>
      </c>
      <c r="B36" s="21" t="s">
        <v>67</v>
      </c>
      <c r="C36" t="s">
        <v>77</v>
      </c>
      <c r="D36" t="s">
        <v>23</v>
      </c>
    </row>
    <row r="37" spans="1:5" ht="18" x14ac:dyDescent="0.35">
      <c r="A37">
        <v>36</v>
      </c>
      <c r="B37" s="22" t="s">
        <v>68</v>
      </c>
      <c r="C37" t="s">
        <v>78</v>
      </c>
      <c r="D37" t="s">
        <v>23</v>
      </c>
      <c r="E37" t="s">
        <v>378</v>
      </c>
    </row>
    <row r="38" spans="1:5" ht="18" x14ac:dyDescent="0.35">
      <c r="A38">
        <v>37</v>
      </c>
      <c r="B38" s="21" t="s">
        <v>69</v>
      </c>
      <c r="C38" t="s">
        <v>79</v>
      </c>
      <c r="D38" t="s">
        <v>23</v>
      </c>
    </row>
    <row r="39" spans="1:5" ht="18" x14ac:dyDescent="0.35">
      <c r="A39">
        <v>38</v>
      </c>
      <c r="B39" s="21" t="s">
        <v>70</v>
      </c>
      <c r="C39" t="s">
        <v>406</v>
      </c>
      <c r="D39" t="s">
        <v>23</v>
      </c>
    </row>
    <row r="40" spans="1:5" ht="18" x14ac:dyDescent="0.35">
      <c r="A40">
        <v>39</v>
      </c>
      <c r="B40" s="25" t="s">
        <v>405</v>
      </c>
      <c r="C40" t="s">
        <v>407</v>
      </c>
      <c r="D40" t="s">
        <v>23</v>
      </c>
      <c r="E40" t="s">
        <v>410</v>
      </c>
    </row>
    <row r="41" spans="1:5" ht="18" x14ac:dyDescent="0.35">
      <c r="A41">
        <v>40</v>
      </c>
      <c r="B41" s="21" t="s">
        <v>72</v>
      </c>
      <c r="C41" t="s">
        <v>80</v>
      </c>
      <c r="D41" t="s">
        <v>23</v>
      </c>
    </row>
    <row r="42" spans="1:5" ht="18" x14ac:dyDescent="0.35">
      <c r="A42">
        <v>41</v>
      </c>
      <c r="B42" s="21" t="s">
        <v>473</v>
      </c>
      <c r="C42" t="s">
        <v>474</v>
      </c>
      <c r="D42" t="s">
        <v>23</v>
      </c>
    </row>
    <row r="43" spans="1:5" ht="18" x14ac:dyDescent="0.35">
      <c r="A43">
        <v>43</v>
      </c>
      <c r="B43" s="25" t="s">
        <v>75</v>
      </c>
      <c r="C43" t="s">
        <v>81</v>
      </c>
      <c r="D43" t="s">
        <v>23</v>
      </c>
      <c r="E43" t="s">
        <v>518</v>
      </c>
    </row>
    <row r="44" spans="1:5" ht="18" x14ac:dyDescent="0.35">
      <c r="A44">
        <v>44</v>
      </c>
      <c r="B44" s="21" t="s">
        <v>489</v>
      </c>
      <c r="C44" t="s">
        <v>490</v>
      </c>
      <c r="D44" t="s">
        <v>4</v>
      </c>
    </row>
    <row r="45" spans="1:5" ht="18" x14ac:dyDescent="0.35">
      <c r="A45">
        <v>45</v>
      </c>
      <c r="B45" s="21" t="s">
        <v>491</v>
      </c>
      <c r="C45" t="s">
        <v>492</v>
      </c>
      <c r="D45" t="s">
        <v>6</v>
      </c>
    </row>
    <row r="46" spans="1:5" ht="18" x14ac:dyDescent="0.35">
      <c r="A46">
        <v>46</v>
      </c>
      <c r="B46" s="21" t="s">
        <v>493</v>
      </c>
      <c r="C46" t="s">
        <v>494</v>
      </c>
      <c r="D46" t="s">
        <v>23</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2"/>
  <sheetViews>
    <sheetView workbookViewId="0">
      <selection sqref="A1:XFD1048576"/>
    </sheetView>
  </sheetViews>
  <sheetFormatPr defaultRowHeight="15" x14ac:dyDescent="0.25"/>
  <cols>
    <col min="2" max="2" width="21.5703125" bestFit="1" customWidth="1"/>
    <col min="4" max="4" width="42.42578125" bestFit="1" customWidth="1"/>
    <col min="5" max="5" width="60.7109375" bestFit="1" customWidth="1"/>
  </cols>
  <sheetData>
    <row r="1" spans="1:5" x14ac:dyDescent="0.25">
      <c r="A1" s="1" t="s">
        <v>13</v>
      </c>
      <c r="B1" s="1" t="s">
        <v>0</v>
      </c>
      <c r="C1" s="1" t="s">
        <v>82</v>
      </c>
      <c r="D1" s="1" t="s">
        <v>83</v>
      </c>
      <c r="E1" s="4" t="s">
        <v>109</v>
      </c>
    </row>
    <row r="2" spans="1:5" x14ac:dyDescent="0.25">
      <c r="A2" s="59">
        <v>1</v>
      </c>
      <c r="B2" s="1" t="s">
        <v>27</v>
      </c>
      <c r="C2" s="1">
        <v>2.6678999999999999</v>
      </c>
      <c r="D2" s="1" t="s">
        <v>91</v>
      </c>
      <c r="E2" s="1"/>
    </row>
    <row r="3" spans="1:5" x14ac:dyDescent="0.25">
      <c r="A3" s="59">
        <v>2</v>
      </c>
      <c r="B3" s="1" t="s">
        <v>28</v>
      </c>
      <c r="C3" s="1">
        <v>1.5370599999999999</v>
      </c>
      <c r="D3" s="1" t="s">
        <v>92</v>
      </c>
      <c r="E3" s="1"/>
    </row>
    <row r="4" spans="1:5" x14ac:dyDescent="0.25">
      <c r="A4" s="59">
        <v>3</v>
      </c>
      <c r="B4" s="1" t="s">
        <v>7</v>
      </c>
      <c r="C4" s="1">
        <v>0.439</v>
      </c>
      <c r="D4" s="1" t="s">
        <v>93</v>
      </c>
      <c r="E4" s="1"/>
    </row>
    <row r="5" spans="1:5" x14ac:dyDescent="0.25">
      <c r="A5" s="59">
        <v>4</v>
      </c>
      <c r="B5" s="2" t="s">
        <v>9</v>
      </c>
      <c r="C5" s="2"/>
      <c r="D5" s="2"/>
      <c r="E5" s="1" t="s">
        <v>110</v>
      </c>
    </row>
    <row r="6" spans="1:5" x14ac:dyDescent="0.25">
      <c r="A6" s="59">
        <v>5</v>
      </c>
      <c r="B6" s="1" t="s">
        <v>10</v>
      </c>
      <c r="C6" s="1">
        <v>1.1200000000000001</v>
      </c>
      <c r="D6" s="1" t="s">
        <v>94</v>
      </c>
      <c r="E6" s="1"/>
    </row>
    <row r="7" spans="1:5" x14ac:dyDescent="0.25">
      <c r="A7" s="59">
        <v>6</v>
      </c>
      <c r="B7" s="1" t="s">
        <v>29</v>
      </c>
      <c r="C7" s="1">
        <v>2.6678999999999999</v>
      </c>
      <c r="D7" s="1" t="s">
        <v>95</v>
      </c>
      <c r="E7" s="1"/>
    </row>
    <row r="8" spans="1:5" x14ac:dyDescent="0.25">
      <c r="A8" s="59">
        <v>7</v>
      </c>
      <c r="B8" s="1" t="s">
        <v>15</v>
      </c>
      <c r="C8" s="1">
        <v>2.6678999999999999</v>
      </c>
      <c r="D8" s="1" t="s">
        <v>91</v>
      </c>
      <c r="E8" s="1"/>
    </row>
    <row r="9" spans="1:5" x14ac:dyDescent="0.25">
      <c r="A9" s="59">
        <v>8</v>
      </c>
      <c r="B9" s="1" t="s">
        <v>16</v>
      </c>
      <c r="C9" s="1">
        <v>2.3449</v>
      </c>
      <c r="D9" s="1" t="s">
        <v>96</v>
      </c>
      <c r="E9" s="1"/>
    </row>
    <row r="10" spans="1:5" x14ac:dyDescent="0.25">
      <c r="A10" s="59">
        <v>9</v>
      </c>
      <c r="B10" s="1" t="s">
        <v>157</v>
      </c>
      <c r="C10" s="1">
        <v>2.6678999999999999</v>
      </c>
      <c r="D10" s="1" t="s">
        <v>91</v>
      </c>
      <c r="E10" s="1"/>
    </row>
    <row r="11" spans="1:5" x14ac:dyDescent="0.25">
      <c r="A11" s="59">
        <v>10</v>
      </c>
      <c r="B11" s="1" t="s">
        <v>233</v>
      </c>
      <c r="C11" s="1">
        <v>2.6678999999999999</v>
      </c>
      <c r="D11" s="1" t="s">
        <v>91</v>
      </c>
      <c r="E11" s="1"/>
    </row>
    <row r="12" spans="1:5" x14ac:dyDescent="0.25">
      <c r="A12" s="59">
        <v>11</v>
      </c>
      <c r="B12" s="1" t="s">
        <v>527</v>
      </c>
      <c r="C12" s="1">
        <v>2088</v>
      </c>
      <c r="D12" s="1" t="s">
        <v>274</v>
      </c>
      <c r="E12" s="1"/>
    </row>
    <row r="13" spans="1:5" x14ac:dyDescent="0.25">
      <c r="A13" s="59">
        <v>12</v>
      </c>
      <c r="B13" s="1" t="s">
        <v>20</v>
      </c>
      <c r="C13" s="1">
        <v>3.3845999999999998</v>
      </c>
      <c r="D13" s="1" t="s">
        <v>97</v>
      </c>
      <c r="E13" s="1"/>
    </row>
    <row r="14" spans="1:5" x14ac:dyDescent="0.25">
      <c r="A14" s="59">
        <v>13</v>
      </c>
      <c r="B14" s="1" t="s">
        <v>21</v>
      </c>
      <c r="C14" s="1">
        <v>0.52800000000000002</v>
      </c>
      <c r="D14" s="1" t="s">
        <v>98</v>
      </c>
      <c r="E14" s="1"/>
    </row>
    <row r="15" spans="1:5" x14ac:dyDescent="0.25">
      <c r="A15" s="60">
        <v>14</v>
      </c>
      <c r="B15" s="1" t="s">
        <v>24</v>
      </c>
      <c r="C15" s="1">
        <v>0.8308509999999999</v>
      </c>
      <c r="D15" s="1" t="s">
        <v>84</v>
      </c>
      <c r="E15" s="1"/>
    </row>
    <row r="16" spans="1:5" x14ac:dyDescent="0.25">
      <c r="A16" s="61">
        <v>15</v>
      </c>
      <c r="B16" s="1" t="s">
        <v>26</v>
      </c>
      <c r="C16" s="1">
        <v>2.64</v>
      </c>
      <c r="D16" s="1" t="s">
        <v>99</v>
      </c>
      <c r="E16" s="1"/>
    </row>
    <row r="17" spans="1:5" x14ac:dyDescent="0.25">
      <c r="A17" s="61">
        <v>16</v>
      </c>
      <c r="B17" s="1" t="s">
        <v>30</v>
      </c>
      <c r="C17" s="1">
        <v>2.48</v>
      </c>
      <c r="D17" s="1" t="s">
        <v>100</v>
      </c>
      <c r="E17" s="1"/>
    </row>
    <row r="18" spans="1:5" x14ac:dyDescent="0.25">
      <c r="A18" s="61">
        <v>17</v>
      </c>
      <c r="B18" s="1" t="s">
        <v>32</v>
      </c>
      <c r="C18" s="1">
        <v>7.83</v>
      </c>
      <c r="D18" s="1" t="s">
        <v>85</v>
      </c>
      <c r="E18" s="1"/>
    </row>
    <row r="19" spans="1:5" x14ac:dyDescent="0.25">
      <c r="A19" s="61">
        <v>18</v>
      </c>
      <c r="B19" s="1" t="s">
        <v>34</v>
      </c>
      <c r="C19" s="1">
        <v>2.48</v>
      </c>
      <c r="D19" s="1" t="s">
        <v>101</v>
      </c>
      <c r="E19" s="1"/>
    </row>
    <row r="20" spans="1:5" x14ac:dyDescent="0.25">
      <c r="A20" s="61">
        <v>19</v>
      </c>
      <c r="B20" s="1" t="s">
        <v>36</v>
      </c>
      <c r="C20" s="1">
        <v>2.48</v>
      </c>
      <c r="D20" s="1" t="s">
        <v>101</v>
      </c>
      <c r="E20" s="1"/>
    </row>
    <row r="21" spans="1:5" x14ac:dyDescent="0.25">
      <c r="A21" s="61">
        <v>20</v>
      </c>
      <c r="B21" s="1" t="s">
        <v>37</v>
      </c>
      <c r="C21" s="1">
        <v>2.78</v>
      </c>
      <c r="D21" s="1" t="s">
        <v>102</v>
      </c>
      <c r="E21" s="1"/>
    </row>
    <row r="22" spans="1:5" x14ac:dyDescent="0.25">
      <c r="A22" s="61">
        <v>21</v>
      </c>
      <c r="B22" s="1" t="s">
        <v>38</v>
      </c>
      <c r="C22" s="1">
        <v>2.78</v>
      </c>
      <c r="D22" s="1" t="s">
        <v>102</v>
      </c>
      <c r="E22" s="1"/>
    </row>
    <row r="23" spans="1:5" x14ac:dyDescent="0.25">
      <c r="A23" s="61">
        <v>22</v>
      </c>
      <c r="B23" s="1" t="s">
        <v>40</v>
      </c>
      <c r="C23" s="1">
        <v>2</v>
      </c>
      <c r="D23" s="1" t="s">
        <v>103</v>
      </c>
      <c r="E23" s="1"/>
    </row>
    <row r="24" spans="1:5" x14ac:dyDescent="0.25">
      <c r="A24" s="61">
        <v>23</v>
      </c>
      <c r="B24" s="2" t="s">
        <v>42</v>
      </c>
      <c r="C24" s="2">
        <v>1.9</v>
      </c>
      <c r="D24" s="2" t="s">
        <v>104</v>
      </c>
      <c r="E24" s="1" t="s">
        <v>110</v>
      </c>
    </row>
    <row r="25" spans="1:5" x14ac:dyDescent="0.25">
      <c r="A25" s="61">
        <v>24</v>
      </c>
      <c r="B25" s="1" t="s">
        <v>44</v>
      </c>
      <c r="C25" s="1">
        <v>3.23</v>
      </c>
      <c r="D25" s="1" t="s">
        <v>105</v>
      </c>
      <c r="E25" s="1"/>
    </row>
    <row r="26" spans="1:5" x14ac:dyDescent="0.25">
      <c r="A26" s="61">
        <v>25</v>
      </c>
      <c r="B26" s="2" t="s">
        <v>45</v>
      </c>
      <c r="C26" s="2"/>
      <c r="D26" s="2"/>
      <c r="E26" s="1" t="s">
        <v>111</v>
      </c>
    </row>
    <row r="27" spans="1:5" x14ac:dyDescent="0.25">
      <c r="A27" s="61">
        <v>26</v>
      </c>
      <c r="B27" s="1" t="s">
        <v>48</v>
      </c>
      <c r="C27" s="1">
        <v>7.6669999999999998</v>
      </c>
      <c r="D27" s="1" t="s">
        <v>106</v>
      </c>
      <c r="E27" s="1"/>
    </row>
    <row r="28" spans="1:5" x14ac:dyDescent="0.25">
      <c r="A28" s="61">
        <v>27</v>
      </c>
      <c r="B28" s="1" t="s">
        <v>47</v>
      </c>
      <c r="C28" s="1">
        <v>6</v>
      </c>
      <c r="D28" s="1" t="s">
        <v>106</v>
      </c>
      <c r="E28" s="1"/>
    </row>
    <row r="29" spans="1:5" x14ac:dyDescent="0.25">
      <c r="A29" s="61">
        <v>28</v>
      </c>
      <c r="B29" s="1" t="s">
        <v>50</v>
      </c>
      <c r="C29" s="1">
        <v>5.35</v>
      </c>
      <c r="D29" s="1" t="s">
        <v>107</v>
      </c>
      <c r="E29" s="1"/>
    </row>
    <row r="30" spans="1:5" x14ac:dyDescent="0.25">
      <c r="A30" s="61">
        <v>29</v>
      </c>
      <c r="B30" s="1" t="s">
        <v>51</v>
      </c>
      <c r="C30" s="1">
        <v>5.3</v>
      </c>
      <c r="D30" s="1" t="s">
        <v>547</v>
      </c>
      <c r="E30" s="1" t="s">
        <v>549</v>
      </c>
    </row>
    <row r="31" spans="1:5" ht="18" x14ac:dyDescent="0.35">
      <c r="A31" s="61">
        <v>30</v>
      </c>
      <c r="B31" s="1" t="s">
        <v>52</v>
      </c>
      <c r="C31" s="1">
        <v>2.64</v>
      </c>
      <c r="D31" s="1" t="s">
        <v>86</v>
      </c>
      <c r="E31" s="1" t="s">
        <v>548</v>
      </c>
    </row>
    <row r="32" spans="1:5" x14ac:dyDescent="0.25">
      <c r="A32" s="61">
        <v>31</v>
      </c>
      <c r="B32" s="1" t="s">
        <v>56</v>
      </c>
      <c r="C32" s="1">
        <v>0.8308509999999999</v>
      </c>
      <c r="D32" s="1" t="s">
        <v>84</v>
      </c>
      <c r="E32" s="1"/>
    </row>
    <row r="33" spans="1:5" x14ac:dyDescent="0.25">
      <c r="A33" s="61">
        <v>32</v>
      </c>
      <c r="B33" s="2" t="s">
        <v>58</v>
      </c>
      <c r="C33" s="2">
        <v>1.3533333333333333</v>
      </c>
      <c r="D33" s="2" t="s">
        <v>87</v>
      </c>
      <c r="E33" s="1" t="s">
        <v>366</v>
      </c>
    </row>
    <row r="34" spans="1:5" x14ac:dyDescent="0.25">
      <c r="A34" s="61">
        <v>33</v>
      </c>
      <c r="B34" s="1" t="s">
        <v>59</v>
      </c>
      <c r="C34" s="1">
        <f>C36+C35</f>
        <v>1.4482000000000002</v>
      </c>
      <c r="D34" s="1" t="s">
        <v>87</v>
      </c>
      <c r="E34" s="106" t="s">
        <v>555</v>
      </c>
    </row>
    <row r="35" spans="1:5" x14ac:dyDescent="0.25">
      <c r="A35" s="61">
        <v>34</v>
      </c>
      <c r="B35" s="1" t="s">
        <v>553</v>
      </c>
      <c r="C35" s="1">
        <v>0.32819999999999999</v>
      </c>
      <c r="D35" s="1" t="s">
        <v>87</v>
      </c>
      <c r="E35" s="107"/>
    </row>
    <row r="36" spans="1:5" x14ac:dyDescent="0.25">
      <c r="A36" s="61">
        <v>35</v>
      </c>
      <c r="B36" s="1" t="s">
        <v>554</v>
      </c>
      <c r="C36" s="1">
        <v>1.1200000000000001</v>
      </c>
      <c r="D36" s="1" t="s">
        <v>87</v>
      </c>
      <c r="E36" s="108"/>
    </row>
    <row r="37" spans="1:5" x14ac:dyDescent="0.25">
      <c r="A37" s="61">
        <v>36</v>
      </c>
      <c r="B37" s="1" t="s">
        <v>62</v>
      </c>
      <c r="C37" s="1">
        <v>100</v>
      </c>
      <c r="D37" s="1" t="s">
        <v>88</v>
      </c>
      <c r="E37" s="1"/>
    </row>
    <row r="38" spans="1:5" x14ac:dyDescent="0.25">
      <c r="A38" s="61">
        <v>37</v>
      </c>
      <c r="B38" s="1" t="s">
        <v>64</v>
      </c>
      <c r="C38" s="1">
        <v>2.64</v>
      </c>
      <c r="D38" s="1" t="s">
        <v>89</v>
      </c>
      <c r="E38" s="1"/>
    </row>
    <row r="39" spans="1:5" x14ac:dyDescent="0.25">
      <c r="A39" s="61">
        <v>38</v>
      </c>
      <c r="B39" s="1" t="s">
        <v>65</v>
      </c>
      <c r="C39" s="1">
        <v>2.64</v>
      </c>
      <c r="D39" s="1" t="s">
        <v>89</v>
      </c>
      <c r="E39" s="1"/>
    </row>
    <row r="40" spans="1:5" x14ac:dyDescent="0.25">
      <c r="A40" s="61">
        <v>39</v>
      </c>
      <c r="B40" s="1" t="s">
        <v>66</v>
      </c>
      <c r="C40" s="1">
        <v>2.64</v>
      </c>
      <c r="D40" s="1" t="s">
        <v>89</v>
      </c>
      <c r="E40" s="1"/>
    </row>
    <row r="41" spans="1:5" x14ac:dyDescent="0.25">
      <c r="A41" s="61">
        <v>40</v>
      </c>
      <c r="B41" s="5" t="s">
        <v>67</v>
      </c>
      <c r="C41" s="5">
        <v>3.4016666666666667E-2</v>
      </c>
      <c r="D41" s="1" t="s">
        <v>108</v>
      </c>
      <c r="E41" s="1" t="s">
        <v>115</v>
      </c>
    </row>
    <row r="42" spans="1:5" x14ac:dyDescent="0.25">
      <c r="A42" s="61">
        <v>41</v>
      </c>
      <c r="B42" s="5" t="s">
        <v>114</v>
      </c>
      <c r="C42" s="5">
        <v>0.17783333333333337</v>
      </c>
      <c r="D42" s="1" t="s">
        <v>108</v>
      </c>
      <c r="E42" s="1" t="s">
        <v>116</v>
      </c>
    </row>
    <row r="43" spans="1:5" x14ac:dyDescent="0.25">
      <c r="A43" s="61">
        <v>42</v>
      </c>
      <c r="B43" s="5" t="s">
        <v>113</v>
      </c>
      <c r="C43" s="5">
        <v>0.17783766233766235</v>
      </c>
      <c r="D43" s="1" t="s">
        <v>108</v>
      </c>
      <c r="E43" s="1" t="s">
        <v>117</v>
      </c>
    </row>
    <row r="44" spans="1:5" x14ac:dyDescent="0.25">
      <c r="A44" s="61">
        <v>43</v>
      </c>
      <c r="B44" s="1" t="s">
        <v>69</v>
      </c>
      <c r="C44" s="1">
        <v>1.516E-2</v>
      </c>
      <c r="D44" s="1" t="s">
        <v>90</v>
      </c>
      <c r="E44" s="1" t="s">
        <v>558</v>
      </c>
    </row>
    <row r="45" spans="1:5" x14ac:dyDescent="0.25">
      <c r="A45" s="62">
        <v>44</v>
      </c>
      <c r="B45" s="1" t="s">
        <v>70</v>
      </c>
      <c r="C45" s="1">
        <v>0.121</v>
      </c>
      <c r="D45" s="1" t="s">
        <v>90</v>
      </c>
      <c r="E45" s="1"/>
    </row>
    <row r="46" spans="1:5" x14ac:dyDescent="0.25">
      <c r="A46" s="61">
        <v>45</v>
      </c>
      <c r="B46" s="1" t="s">
        <v>71</v>
      </c>
      <c r="C46" s="1">
        <v>7.9399999999999991E-3</v>
      </c>
      <c r="D46" s="1" t="s">
        <v>90</v>
      </c>
      <c r="E46" s="1"/>
    </row>
    <row r="47" spans="1:5" x14ac:dyDescent="0.25">
      <c r="A47" s="61">
        <v>46</v>
      </c>
      <c r="B47" s="1" t="s">
        <v>72</v>
      </c>
      <c r="C47" s="1">
        <v>0.307</v>
      </c>
      <c r="D47" s="1" t="s">
        <v>108</v>
      </c>
      <c r="E47" s="1" t="s">
        <v>561</v>
      </c>
    </row>
    <row r="48" spans="1:5" x14ac:dyDescent="0.25">
      <c r="A48" s="62">
        <v>47</v>
      </c>
      <c r="B48" s="1" t="s">
        <v>73</v>
      </c>
      <c r="C48" s="1">
        <v>0.59279999999999999</v>
      </c>
      <c r="D48" s="1" t="s">
        <v>108</v>
      </c>
      <c r="E48" s="1" t="s">
        <v>562</v>
      </c>
    </row>
    <row r="49" spans="1:5" x14ac:dyDescent="0.25">
      <c r="A49" s="61">
        <v>48</v>
      </c>
      <c r="B49" s="1" t="s">
        <v>74</v>
      </c>
      <c r="C49" s="1">
        <v>0.73750000000000004</v>
      </c>
      <c r="D49" s="1" t="s">
        <v>108</v>
      </c>
      <c r="E49" s="1" t="s">
        <v>563</v>
      </c>
    </row>
    <row r="50" spans="1:5" x14ac:dyDescent="0.25">
      <c r="A50" s="61">
        <v>49</v>
      </c>
      <c r="B50" s="63" t="s">
        <v>75</v>
      </c>
      <c r="C50" s="63"/>
      <c r="D50" s="63"/>
      <c r="E50" s="45" t="s">
        <v>112</v>
      </c>
    </row>
    <row r="51" spans="1:5" x14ac:dyDescent="0.25">
      <c r="A51" s="61">
        <v>50</v>
      </c>
      <c r="B51" s="4" t="s">
        <v>532</v>
      </c>
      <c r="C51" s="4">
        <v>1.7</v>
      </c>
      <c r="D51" s="1" t="s">
        <v>533</v>
      </c>
      <c r="E51" s="1"/>
    </row>
    <row r="52" spans="1:5" x14ac:dyDescent="0.25">
      <c r="A52" s="61">
        <v>51</v>
      </c>
      <c r="B52" s="4" t="s">
        <v>540</v>
      </c>
      <c r="C52" s="4">
        <v>0.23599999999999999</v>
      </c>
      <c r="D52" s="1" t="s">
        <v>541</v>
      </c>
      <c r="E52" s="1"/>
    </row>
  </sheetData>
  <mergeCells count="1">
    <mergeCell ref="E34:E3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6"/>
  <sheetViews>
    <sheetView workbookViewId="0">
      <selection activeCell="F20" sqref="F20"/>
    </sheetView>
  </sheetViews>
  <sheetFormatPr defaultRowHeight="15" x14ac:dyDescent="0.25"/>
  <cols>
    <col min="2" max="2" width="21.5703125" bestFit="1" customWidth="1"/>
    <col min="3" max="3" width="8.28515625" bestFit="1" customWidth="1"/>
    <col min="4" max="4" width="22.28515625" style="58" bestFit="1" customWidth="1"/>
    <col min="5" max="5" width="22.28515625" style="72" customWidth="1"/>
    <col min="6" max="6" width="11.5703125" style="58" customWidth="1"/>
    <col min="7" max="7" width="11.5703125" customWidth="1"/>
    <col min="8" max="8" width="20.7109375" bestFit="1" customWidth="1"/>
    <col min="9" max="9" width="12" bestFit="1" customWidth="1"/>
  </cols>
  <sheetData>
    <row r="1" spans="1:9" x14ac:dyDescent="0.25">
      <c r="A1" t="s">
        <v>13</v>
      </c>
      <c r="B1" t="s">
        <v>0</v>
      </c>
      <c r="C1" t="s">
        <v>2</v>
      </c>
      <c r="D1" s="58" t="s">
        <v>530</v>
      </c>
      <c r="E1" s="72" t="s">
        <v>589</v>
      </c>
    </row>
    <row r="2" spans="1:9" x14ac:dyDescent="0.25">
      <c r="A2">
        <v>1</v>
      </c>
      <c r="B2" t="s">
        <v>27</v>
      </c>
      <c r="C2">
        <v>1</v>
      </c>
      <c r="D2" s="58">
        <f>DG_CONS_EM!G38</f>
        <v>5186.3976000000002</v>
      </c>
      <c r="E2" s="72">
        <f>D2/10^6</f>
        <v>5.1863975999999999E-3</v>
      </c>
      <c r="F2" s="58">
        <f>(D2/$D$46)*100</f>
        <v>4.1309482234223843E-2</v>
      </c>
      <c r="H2" t="s">
        <v>588</v>
      </c>
      <c r="I2" s="69">
        <f>(SUM(D2:D45))/10^6</f>
        <v>12.554980889359109</v>
      </c>
    </row>
    <row r="3" spans="1:9" x14ac:dyDescent="0.25">
      <c r="A3">
        <v>2</v>
      </c>
      <c r="B3" t="s">
        <v>28</v>
      </c>
      <c r="C3">
        <v>1</v>
      </c>
      <c r="D3" s="58">
        <f>LPG_CONS_EM!H14</f>
        <v>187.21390799999998</v>
      </c>
      <c r="E3" s="72">
        <f t="shared" ref="E3:E45" si="0">D3/10^6</f>
        <v>1.8721390799999999E-4</v>
      </c>
      <c r="F3" s="58">
        <f t="shared" ref="F3:F45" si="1">(D3/$D$46)*100</f>
        <v>1.4911524728697268E-3</v>
      </c>
      <c r="G3">
        <v>1</v>
      </c>
      <c r="H3" t="s">
        <v>587</v>
      </c>
      <c r="I3" s="69">
        <f>(SUMIF(C2:C45,G3,D2:D45))/10^6</f>
        <v>7.4465815080691478</v>
      </c>
    </row>
    <row r="4" spans="1:9" x14ac:dyDescent="0.25">
      <c r="A4">
        <v>3</v>
      </c>
      <c r="B4" t="s">
        <v>7</v>
      </c>
      <c r="C4">
        <v>1</v>
      </c>
      <c r="D4" s="58">
        <v>190.965</v>
      </c>
      <c r="E4" s="72">
        <f t="shared" si="0"/>
        <v>1.90965E-4</v>
      </c>
      <c r="F4" s="58">
        <f t="shared" si="1"/>
        <v>1.5210297943332683E-3</v>
      </c>
      <c r="G4">
        <v>2</v>
      </c>
      <c r="H4" t="s">
        <v>586</v>
      </c>
      <c r="I4" s="69">
        <f>(SUMIF(C2:C45,G4,D2:D45))/10^6</f>
        <v>0.20549072208559999</v>
      </c>
    </row>
    <row r="5" spans="1:9" x14ac:dyDescent="0.25">
      <c r="A5">
        <v>4</v>
      </c>
      <c r="B5" t="s">
        <v>9</v>
      </c>
      <c r="C5">
        <v>1</v>
      </c>
      <c r="D5" s="58">
        <v>0</v>
      </c>
      <c r="E5" s="72">
        <f t="shared" si="0"/>
        <v>0</v>
      </c>
      <c r="F5" s="58">
        <f t="shared" si="1"/>
        <v>0</v>
      </c>
      <c r="G5">
        <v>3</v>
      </c>
      <c r="H5" t="s">
        <v>585</v>
      </c>
      <c r="I5" s="69">
        <f>(SUMIF(C2:C45,G5,D2:D45))/10^6</f>
        <v>4.9029086592043623</v>
      </c>
    </row>
    <row r="6" spans="1:9" x14ac:dyDescent="0.25">
      <c r="A6">
        <v>5</v>
      </c>
      <c r="B6" s="70" t="s">
        <v>10</v>
      </c>
      <c r="C6" s="70">
        <v>1</v>
      </c>
      <c r="D6" s="71">
        <f>OVER_B_EM!G14</f>
        <v>1892496.0320000004</v>
      </c>
      <c r="E6" s="72">
        <f t="shared" si="0"/>
        <v>1.8924960320000004</v>
      </c>
      <c r="F6" s="86">
        <f t="shared" si="1"/>
        <v>15.073667165865404</v>
      </c>
    </row>
    <row r="7" spans="1:9" x14ac:dyDescent="0.25">
      <c r="A7">
        <v>6</v>
      </c>
      <c r="B7" s="70" t="s">
        <v>29</v>
      </c>
      <c r="C7" s="70">
        <v>1</v>
      </c>
      <c r="D7" s="71">
        <f>HEMV_FUEL_EM!H52</f>
        <v>3642593.7874799999</v>
      </c>
      <c r="E7" s="72">
        <f t="shared" si="0"/>
        <v>3.6425937874800001</v>
      </c>
      <c r="F7" s="86">
        <f t="shared" si="1"/>
        <v>29.013136854451577</v>
      </c>
    </row>
    <row r="8" spans="1:9" x14ac:dyDescent="0.25">
      <c r="A8">
        <v>7</v>
      </c>
      <c r="B8" t="s">
        <v>15</v>
      </c>
      <c r="C8">
        <v>1</v>
      </c>
      <c r="D8" s="58">
        <f>LMV_EM_D!H16</f>
        <v>179916.45390583976</v>
      </c>
      <c r="E8" s="72">
        <f t="shared" si="0"/>
        <v>0.17991645390583977</v>
      </c>
      <c r="F8" s="58">
        <f t="shared" si="1"/>
        <v>1.4330284967484639</v>
      </c>
    </row>
    <row r="9" spans="1:9" x14ac:dyDescent="0.25">
      <c r="A9">
        <v>8</v>
      </c>
      <c r="B9" t="s">
        <v>16</v>
      </c>
      <c r="C9">
        <v>1</v>
      </c>
      <c r="D9" s="58">
        <f>LMV_EM_G!A1</f>
        <v>0</v>
      </c>
      <c r="E9" s="72">
        <f t="shared" si="0"/>
        <v>0</v>
      </c>
      <c r="F9" s="58">
        <f t="shared" si="1"/>
        <v>0</v>
      </c>
    </row>
    <row r="10" spans="1:9" x14ac:dyDescent="0.25">
      <c r="A10">
        <v>9</v>
      </c>
      <c r="B10" s="70" t="s">
        <v>157</v>
      </c>
      <c r="C10" s="70">
        <v>1</v>
      </c>
      <c r="D10" s="71">
        <f>PUMP_DEW_EM!H5</f>
        <v>1361973.6216</v>
      </c>
      <c r="E10" s="72">
        <f t="shared" si="0"/>
        <v>1.3619736216</v>
      </c>
      <c r="F10" s="86">
        <f t="shared" si="1"/>
        <v>10.848074032150313</v>
      </c>
    </row>
    <row r="11" spans="1:9" x14ac:dyDescent="0.25">
      <c r="A11">
        <v>10</v>
      </c>
      <c r="B11" t="s">
        <v>233</v>
      </c>
      <c r="C11">
        <v>1</v>
      </c>
      <c r="D11" s="58">
        <f>PORT_DG_EM!H11</f>
        <v>56102.676826199997</v>
      </c>
      <c r="E11" s="72">
        <f t="shared" si="0"/>
        <v>5.6102676826199994E-2</v>
      </c>
      <c r="F11" s="58">
        <f t="shared" si="1"/>
        <v>0.44685593168643883</v>
      </c>
    </row>
    <row r="12" spans="1:9" x14ac:dyDescent="0.25">
      <c r="A12">
        <v>11</v>
      </c>
      <c r="B12" t="s">
        <v>527</v>
      </c>
      <c r="C12">
        <v>1</v>
      </c>
      <c r="D12" s="58">
        <f>AC_R32_EM!J14</f>
        <v>22675.68</v>
      </c>
      <c r="E12" s="72">
        <f t="shared" si="0"/>
        <v>2.267568E-2</v>
      </c>
      <c r="F12" s="58">
        <f t="shared" si="1"/>
        <v>0.18061102760593306</v>
      </c>
    </row>
    <row r="13" spans="1:9" x14ac:dyDescent="0.25">
      <c r="A13">
        <v>12</v>
      </c>
      <c r="B13" t="s">
        <v>20</v>
      </c>
      <c r="C13">
        <v>1</v>
      </c>
      <c r="D13" s="58">
        <f>OXY_ACE_EM!I2</f>
        <v>1756.3312166399999</v>
      </c>
      <c r="E13" s="72">
        <f t="shared" si="0"/>
        <v>1.7563312166399999E-3</v>
      </c>
      <c r="F13" s="58">
        <f t="shared" si="1"/>
        <v>1.3989118996816369E-2</v>
      </c>
    </row>
    <row r="14" spans="1:9" x14ac:dyDescent="0.25">
      <c r="A14">
        <v>13</v>
      </c>
      <c r="B14" t="s">
        <v>280</v>
      </c>
      <c r="C14">
        <v>1</v>
      </c>
      <c r="D14" s="58">
        <f>DIESEL_DRILL_EM!E2</f>
        <v>230506.56</v>
      </c>
      <c r="E14" s="72">
        <f t="shared" si="0"/>
        <v>0.23050656</v>
      </c>
      <c r="F14" s="86">
        <f t="shared" si="1"/>
        <v>1.8359769881877264</v>
      </c>
    </row>
    <row r="15" spans="1:9" x14ac:dyDescent="0.25">
      <c r="A15">
        <v>14</v>
      </c>
      <c r="B15" t="s">
        <v>21</v>
      </c>
      <c r="C15">
        <v>1</v>
      </c>
      <c r="D15" s="58">
        <f>LUBE_USE_EM!F6</f>
        <v>30420.720000000001</v>
      </c>
      <c r="E15" s="72">
        <f t="shared" si="0"/>
        <v>3.0420720000000002E-2</v>
      </c>
      <c r="F15" s="58">
        <f t="shared" si="1"/>
        <v>0.24230001039494117</v>
      </c>
    </row>
    <row r="16" spans="1:9" x14ac:dyDescent="0.25">
      <c r="A16">
        <v>15</v>
      </c>
      <c r="B16" s="70" t="s">
        <v>24</v>
      </c>
      <c r="C16" s="70">
        <v>2</v>
      </c>
      <c r="D16" s="71">
        <f>ELECT_EM!E2</f>
        <v>205490.72208559999</v>
      </c>
      <c r="E16" s="72">
        <f t="shared" si="0"/>
        <v>0.20549072208559999</v>
      </c>
      <c r="F16" s="58">
        <f t="shared" si="1"/>
        <v>1.6367266815974391</v>
      </c>
    </row>
    <row r="17" spans="1:6" x14ac:dyDescent="0.25">
      <c r="A17">
        <v>16</v>
      </c>
      <c r="B17" t="s">
        <v>26</v>
      </c>
      <c r="C17">
        <v>3</v>
      </c>
      <c r="D17" s="58">
        <f>DRILL_BIL_PROD_EM!G4</f>
        <v>2772</v>
      </c>
      <c r="E17" s="72">
        <f t="shared" si="0"/>
        <v>2.7720000000000002E-3</v>
      </c>
      <c r="F17" s="58">
        <f t="shared" si="1"/>
        <v>2.2078886654056083E-2</v>
      </c>
    </row>
    <row r="18" spans="1:6" x14ac:dyDescent="0.25">
      <c r="A18">
        <v>17</v>
      </c>
      <c r="B18" s="70" t="s">
        <v>30</v>
      </c>
      <c r="C18" s="70">
        <v>3</v>
      </c>
      <c r="D18" s="71">
        <f>LUBE_PROD_EM!F6</f>
        <v>142885.20000000001</v>
      </c>
      <c r="E18" s="72">
        <f t="shared" si="0"/>
        <v>0.14288520000000002</v>
      </c>
      <c r="F18" s="86">
        <f t="shared" si="1"/>
        <v>1.1380758064004812</v>
      </c>
    </row>
    <row r="19" spans="1:6" x14ac:dyDescent="0.25">
      <c r="A19">
        <v>18</v>
      </c>
      <c r="B19" t="s">
        <v>32</v>
      </c>
      <c r="C19">
        <v>3</v>
      </c>
      <c r="D19" s="58">
        <f>PVC_BOX_PROD_EM!G4</f>
        <v>26631.396000000001</v>
      </c>
      <c r="E19" s="72">
        <f t="shared" si="0"/>
        <v>2.6631396000000002E-2</v>
      </c>
      <c r="F19" s="58">
        <f t="shared" si="1"/>
        <v>0.21211817233884653</v>
      </c>
    </row>
    <row r="20" spans="1:6" x14ac:dyDescent="0.25">
      <c r="A20">
        <v>19</v>
      </c>
      <c r="B20" t="s">
        <v>37</v>
      </c>
      <c r="C20">
        <v>3</v>
      </c>
      <c r="D20" s="58">
        <f>HEMV_TYRE_PROD_EM!G2</f>
        <v>88075.959999999992</v>
      </c>
      <c r="E20" s="72">
        <f t="shared" si="0"/>
        <v>8.8075959999999995E-2</v>
      </c>
      <c r="F20" s="58">
        <f t="shared" si="1"/>
        <v>0.70152205547877966</v>
      </c>
    </row>
    <row r="21" spans="1:6" x14ac:dyDescent="0.25">
      <c r="A21">
        <v>20</v>
      </c>
      <c r="B21" t="s">
        <v>38</v>
      </c>
      <c r="C21">
        <v>3</v>
      </c>
      <c r="D21" s="58">
        <f>LMV_TYRE_PROD_EM!A1</f>
        <v>0</v>
      </c>
      <c r="E21" s="72">
        <f t="shared" si="0"/>
        <v>0</v>
      </c>
      <c r="F21" s="58">
        <f t="shared" si="1"/>
        <v>0</v>
      </c>
    </row>
    <row r="22" spans="1:6" x14ac:dyDescent="0.25">
      <c r="A22">
        <v>21</v>
      </c>
      <c r="B22" t="s">
        <v>40</v>
      </c>
      <c r="C22">
        <v>3</v>
      </c>
      <c r="D22" s="58">
        <f>BATT_PROD_EM!I2</f>
        <v>43.2</v>
      </c>
      <c r="E22" s="72">
        <f t="shared" si="0"/>
        <v>4.32E-5</v>
      </c>
      <c r="F22" s="58">
        <f t="shared" si="1"/>
        <v>3.4408654525801686E-4</v>
      </c>
    </row>
    <row r="23" spans="1:6" x14ac:dyDescent="0.25">
      <c r="A23">
        <v>22</v>
      </c>
      <c r="B23" t="s">
        <v>42</v>
      </c>
      <c r="C23">
        <v>3</v>
      </c>
      <c r="D23" s="58">
        <v>0</v>
      </c>
      <c r="E23" s="72">
        <f t="shared" si="0"/>
        <v>0</v>
      </c>
      <c r="F23" s="58">
        <f t="shared" si="1"/>
        <v>0</v>
      </c>
    </row>
    <row r="24" spans="1:6" x14ac:dyDescent="0.25">
      <c r="A24">
        <v>23</v>
      </c>
      <c r="B24" t="s">
        <v>44</v>
      </c>
      <c r="C24">
        <v>3</v>
      </c>
      <c r="D24" s="58">
        <f>OXY_ACE_PROD_EM!J4</f>
        <v>10014.171264000001</v>
      </c>
      <c r="E24" s="72">
        <f t="shared" si="0"/>
        <v>1.0014171264000001E-2</v>
      </c>
      <c r="F24" s="58">
        <f t="shared" si="1"/>
        <v>7.9762536894719169E-2</v>
      </c>
    </row>
    <row r="25" spans="1:6" x14ac:dyDescent="0.25">
      <c r="A25">
        <v>24</v>
      </c>
      <c r="B25" t="s">
        <v>45</v>
      </c>
      <c r="C25">
        <v>3</v>
      </c>
      <c r="D25" s="58">
        <v>0</v>
      </c>
      <c r="E25" s="72">
        <f t="shared" si="0"/>
        <v>0</v>
      </c>
      <c r="F25" s="58">
        <f t="shared" si="1"/>
        <v>0</v>
      </c>
    </row>
    <row r="26" spans="1:6" x14ac:dyDescent="0.25">
      <c r="A26">
        <v>25</v>
      </c>
      <c r="B26" t="s">
        <v>48</v>
      </c>
      <c r="C26">
        <v>3</v>
      </c>
      <c r="D26" s="58">
        <f>HDPE5_PROD_EM!H2</f>
        <v>6900.3</v>
      </c>
      <c r="E26" s="72">
        <f t="shared" si="0"/>
        <v>6.9002999999999998E-3</v>
      </c>
      <c r="F26" s="58">
        <f t="shared" si="1"/>
        <v>5.4960657135275322E-2</v>
      </c>
    </row>
    <row r="27" spans="1:6" x14ac:dyDescent="0.25">
      <c r="A27">
        <v>26</v>
      </c>
      <c r="B27" t="s">
        <v>50</v>
      </c>
      <c r="C27">
        <v>3</v>
      </c>
      <c r="D27" s="58">
        <f>LPG_PROD_EM!J14</f>
        <v>2978.88</v>
      </c>
      <c r="E27" s="72">
        <f t="shared" si="0"/>
        <v>2.9788800000000002E-3</v>
      </c>
      <c r="F27" s="58">
        <f t="shared" si="1"/>
        <v>2.3726678887458365E-2</v>
      </c>
    </row>
    <row r="28" spans="1:6" x14ac:dyDescent="0.25">
      <c r="A28">
        <v>27</v>
      </c>
      <c r="B28" s="70" t="s">
        <v>51</v>
      </c>
      <c r="C28" s="70">
        <v>3</v>
      </c>
      <c r="D28" s="71">
        <f>FE_CHROM_PROD_EM!G14</f>
        <v>792774</v>
      </c>
      <c r="E28" s="72">
        <f t="shared" si="0"/>
        <v>0.79277399999999998</v>
      </c>
      <c r="F28" s="86">
        <f t="shared" si="1"/>
        <v>6.3144182136661824</v>
      </c>
    </row>
    <row r="29" spans="1:6" x14ac:dyDescent="0.25">
      <c r="A29">
        <v>28</v>
      </c>
      <c r="B29" s="70" t="s">
        <v>52</v>
      </c>
      <c r="C29" s="70">
        <v>3</v>
      </c>
      <c r="D29" s="71">
        <f>STEEL_PROD_EM!G14</f>
        <v>394891.2</v>
      </c>
      <c r="E29" s="72">
        <f t="shared" si="0"/>
        <v>0.3948912</v>
      </c>
      <c r="F29" s="86">
        <f t="shared" si="1"/>
        <v>3.1452951102035325</v>
      </c>
    </row>
    <row r="30" spans="1:6" x14ac:dyDescent="0.25">
      <c r="A30">
        <v>29</v>
      </c>
      <c r="B30" s="70" t="s">
        <v>56</v>
      </c>
      <c r="C30" s="70">
        <v>3</v>
      </c>
      <c r="D30" s="71">
        <f>WTP_ELECT_EM!G2</f>
        <v>551411.92173374991</v>
      </c>
      <c r="E30" s="72">
        <f t="shared" si="0"/>
        <v>0.55141192173374987</v>
      </c>
      <c r="F30" s="86">
        <f t="shared" si="1"/>
        <v>4.3919773880428243</v>
      </c>
    </row>
    <row r="31" spans="1:6" x14ac:dyDescent="0.25">
      <c r="A31">
        <v>30</v>
      </c>
      <c r="B31" t="s">
        <v>58</v>
      </c>
      <c r="C31">
        <v>3</v>
      </c>
      <c r="D31" s="58">
        <f>QC_CHEM_PROD_EM!K14</f>
        <v>55.117469108000002</v>
      </c>
      <c r="E31" s="72">
        <f t="shared" si="0"/>
        <v>5.5117469108000005E-5</v>
      </c>
      <c r="F31" s="58">
        <f t="shared" si="1"/>
        <v>4.3900878538743495E-4</v>
      </c>
    </row>
    <row r="32" spans="1:6" x14ac:dyDescent="0.25">
      <c r="A32">
        <v>31</v>
      </c>
      <c r="B32" t="s">
        <v>59</v>
      </c>
      <c r="C32">
        <v>3</v>
      </c>
      <c r="D32" s="58">
        <f>CHEM_ETP_PROD_EM!E5</f>
        <v>14123.084999999999</v>
      </c>
      <c r="E32" s="72">
        <f t="shared" si="0"/>
        <v>1.4123084999999999E-2</v>
      </c>
      <c r="F32" s="58">
        <f t="shared" si="1"/>
        <v>0.11248989643600274</v>
      </c>
    </row>
    <row r="33" spans="1:6" x14ac:dyDescent="0.25">
      <c r="A33">
        <v>32</v>
      </c>
      <c r="B33" s="73" t="s">
        <v>62</v>
      </c>
      <c r="C33" s="73">
        <v>3</v>
      </c>
      <c r="D33" s="74">
        <f>DISP_TYRE_EM!G4</f>
        <v>3168.2</v>
      </c>
      <c r="E33" s="72">
        <f t="shared" si="0"/>
        <v>3.1681999999999999E-3</v>
      </c>
      <c r="F33" s="58">
        <f t="shared" si="1"/>
        <v>2.5234606312186318E-2</v>
      </c>
    </row>
    <row r="34" spans="1:6" x14ac:dyDescent="0.25">
      <c r="A34">
        <v>33</v>
      </c>
      <c r="B34" t="s">
        <v>64</v>
      </c>
      <c r="C34">
        <v>3</v>
      </c>
      <c r="D34" s="58">
        <f>DISP_LUBE_EM!F6</f>
        <v>152103.6</v>
      </c>
      <c r="E34" s="72">
        <f t="shared" si="0"/>
        <v>0.15210360000000001</v>
      </c>
      <c r="F34" s="86">
        <f t="shared" si="1"/>
        <v>1.2115000519747059</v>
      </c>
    </row>
    <row r="35" spans="1:6" x14ac:dyDescent="0.25">
      <c r="A35">
        <v>34</v>
      </c>
      <c r="B35" t="s">
        <v>67</v>
      </c>
      <c r="C35">
        <v>3</v>
      </c>
      <c r="D35" s="58">
        <f>TRANS_2WHS_EM!H3</f>
        <v>6358.8460541666664</v>
      </c>
      <c r="E35" s="72">
        <f t="shared" si="0"/>
        <v>6.3588460541666664E-3</v>
      </c>
      <c r="F35" s="58">
        <f t="shared" si="1"/>
        <v>5.0647994689948621E-2</v>
      </c>
    </row>
    <row r="36" spans="1:6" x14ac:dyDescent="0.25">
      <c r="A36">
        <v>35</v>
      </c>
      <c r="B36" t="s">
        <v>68</v>
      </c>
      <c r="C36">
        <v>3</v>
      </c>
      <c r="D36" s="58">
        <v>0</v>
      </c>
      <c r="E36" s="72">
        <f t="shared" si="0"/>
        <v>0</v>
      </c>
      <c r="F36" s="58">
        <f t="shared" si="1"/>
        <v>0</v>
      </c>
    </row>
    <row r="37" spans="1:6" x14ac:dyDescent="0.25">
      <c r="A37">
        <v>36</v>
      </c>
      <c r="B37" t="s">
        <v>69</v>
      </c>
      <c r="C37">
        <v>3</v>
      </c>
      <c r="D37" s="58">
        <f>TRANS_BUS_EM!G2</f>
        <v>15062.963400000001</v>
      </c>
      <c r="E37" s="72">
        <f t="shared" si="0"/>
        <v>1.5062963400000001E-2</v>
      </c>
      <c r="F37" s="58">
        <f t="shared" si="1"/>
        <v>0.11997599624198962</v>
      </c>
    </row>
    <row r="38" spans="1:6" x14ac:dyDescent="0.25">
      <c r="A38">
        <v>37</v>
      </c>
      <c r="B38" t="s">
        <v>70</v>
      </c>
      <c r="C38">
        <v>3</v>
      </c>
      <c r="D38" s="58">
        <f>TRANS_PLANE_EM!G6</f>
        <v>1572.7579999999998</v>
      </c>
      <c r="E38" s="72">
        <f t="shared" si="0"/>
        <v>1.5727579999999998E-3</v>
      </c>
      <c r="F38" s="58">
        <f t="shared" si="1"/>
        <v>1.2526964508030279E-2</v>
      </c>
    </row>
    <row r="39" spans="1:6" x14ac:dyDescent="0.25">
      <c r="A39">
        <v>38</v>
      </c>
      <c r="B39" t="s">
        <v>405</v>
      </c>
      <c r="C39">
        <v>3</v>
      </c>
      <c r="D39" s="58">
        <f>TRANS_LMV_EM!H20</f>
        <v>806.31596103896118</v>
      </c>
      <c r="E39" s="72">
        <f t="shared" si="0"/>
        <v>8.0631596103896113E-4</v>
      </c>
      <c r="F39" s="58">
        <f t="shared" si="1"/>
        <v>6.4222794773216175E-3</v>
      </c>
    </row>
    <row r="40" spans="1:6" x14ac:dyDescent="0.25">
      <c r="A40">
        <v>39</v>
      </c>
      <c r="B40" s="70" t="s">
        <v>72</v>
      </c>
      <c r="C40" s="70">
        <v>3</v>
      </c>
      <c r="D40" s="71">
        <f>TRANS_6WHS_EM!K543</f>
        <v>1477995.5174400001</v>
      </c>
      <c r="E40" s="72">
        <f t="shared" si="0"/>
        <v>1.4779955174400001</v>
      </c>
      <c r="F40" s="86">
        <f t="shared" si="1"/>
        <v>11.772184525526958</v>
      </c>
    </row>
    <row r="41" spans="1:6" x14ac:dyDescent="0.25">
      <c r="A41">
        <v>40</v>
      </c>
      <c r="B41" s="70" t="s">
        <v>473</v>
      </c>
      <c r="C41" s="70">
        <v>3</v>
      </c>
      <c r="D41" s="71">
        <f>'TRANS_12-14WHS_EM'!K123</f>
        <v>1145338.9750000001</v>
      </c>
      <c r="E41" s="72">
        <f t="shared" si="0"/>
        <v>1.145338975</v>
      </c>
      <c r="F41" s="86">
        <f t="shared" si="1"/>
        <v>9.1225863670626897</v>
      </c>
    </row>
    <row r="42" spans="1:6" x14ac:dyDescent="0.25">
      <c r="A42">
        <v>41</v>
      </c>
      <c r="B42" t="s">
        <v>75</v>
      </c>
      <c r="C42">
        <v>3</v>
      </c>
      <c r="D42" s="58">
        <f>GEN_ITEM_PROD_EM!I19</f>
        <v>1309.1151809999999</v>
      </c>
      <c r="E42" s="72">
        <f t="shared" si="0"/>
        <v>1.3091151809999999E-3</v>
      </c>
      <c r="F42" s="58">
        <f t="shared" si="1"/>
        <v>1.0427058332757255E-2</v>
      </c>
    </row>
    <row r="43" spans="1:6" x14ac:dyDescent="0.25">
      <c r="A43">
        <v>42</v>
      </c>
      <c r="B43" t="s">
        <v>489</v>
      </c>
      <c r="C43">
        <v>1</v>
      </c>
      <c r="D43" s="58">
        <f>MIN_QC_TRANS_EM!E2</f>
        <v>22575.068532467532</v>
      </c>
      <c r="E43" s="72">
        <f t="shared" si="0"/>
        <v>2.2575068532467532E-2</v>
      </c>
      <c r="F43" s="58">
        <f t="shared" si="1"/>
        <v>0.17980966065508616</v>
      </c>
    </row>
    <row r="44" spans="1:6" x14ac:dyDescent="0.25">
      <c r="A44">
        <v>43</v>
      </c>
      <c r="B44" t="s">
        <v>491</v>
      </c>
      <c r="C44">
        <v>3</v>
      </c>
      <c r="D44" s="58">
        <f>CORE_QC_TRANS_EM!E2</f>
        <v>45149.038000000008</v>
      </c>
      <c r="E44" s="72">
        <f t="shared" si="0"/>
        <v>4.5149038000000009E-2</v>
      </c>
      <c r="F44" s="58">
        <f t="shared" si="1"/>
        <v>0.35961056729497515</v>
      </c>
    </row>
    <row r="45" spans="1:6" x14ac:dyDescent="0.25">
      <c r="A45">
        <v>44</v>
      </c>
      <c r="B45" t="s">
        <v>493</v>
      </c>
      <c r="C45">
        <v>3</v>
      </c>
      <c r="D45" s="58">
        <f>CORE_TRANS_BB_EM!E2</f>
        <v>20486.898701298702</v>
      </c>
      <c r="E45" s="72">
        <f t="shared" si="0"/>
        <v>2.0486898701298703E-2</v>
      </c>
      <c r="F45" s="58">
        <f t="shared" si="1"/>
        <v>0.16317745826807459</v>
      </c>
    </row>
    <row r="46" spans="1:6" x14ac:dyDescent="0.25">
      <c r="D46" s="58">
        <f>SUM(D2:D45)</f>
        <v>12554980.889359109</v>
      </c>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58"/>
  <sheetViews>
    <sheetView workbookViewId="0">
      <selection activeCell="B5" sqref="B5"/>
    </sheetView>
  </sheetViews>
  <sheetFormatPr defaultRowHeight="15" x14ac:dyDescent="0.25"/>
  <cols>
    <col min="1" max="1" width="23.7109375" customWidth="1"/>
    <col min="2" max="2" width="44.7109375" customWidth="1"/>
    <col min="3" max="3" width="8.28515625" bestFit="1" customWidth="1"/>
    <col min="4" max="4" width="13.140625" bestFit="1" customWidth="1"/>
    <col min="5" max="5" width="14.28515625" customWidth="1"/>
    <col min="6" max="6" width="16" customWidth="1"/>
    <col min="7" max="16" width="9.140625" customWidth="1"/>
  </cols>
  <sheetData>
    <row r="1" spans="1:19" ht="48.75" customHeight="1" x14ac:dyDescent="0.25">
      <c r="A1" s="109" t="s">
        <v>590</v>
      </c>
      <c r="B1" s="109"/>
      <c r="C1" s="109"/>
      <c r="D1" s="109"/>
      <c r="E1" s="77"/>
      <c r="F1" s="77"/>
      <c r="G1" s="77"/>
      <c r="H1" s="77"/>
      <c r="I1" s="77"/>
      <c r="J1" s="77"/>
      <c r="K1" s="77"/>
      <c r="L1" s="77"/>
      <c r="M1" s="77"/>
      <c r="N1" s="77"/>
      <c r="O1" s="77"/>
      <c r="P1" s="77"/>
      <c r="Q1" s="75"/>
      <c r="R1" s="75"/>
      <c r="S1" s="75"/>
    </row>
    <row r="2" spans="1:19" ht="15" customHeight="1" x14ac:dyDescent="0.25">
      <c r="A2" s="75" t="s">
        <v>591</v>
      </c>
      <c r="B2" s="75"/>
      <c r="C2" s="75"/>
      <c r="D2" s="75"/>
      <c r="E2" s="75"/>
      <c r="F2" s="75"/>
      <c r="G2" s="75"/>
      <c r="H2" s="75"/>
      <c r="I2" s="75"/>
      <c r="J2" s="75"/>
      <c r="K2" s="75"/>
      <c r="L2" s="75"/>
      <c r="M2" s="75"/>
      <c r="N2" s="75"/>
      <c r="O2" s="75"/>
      <c r="P2" s="75"/>
      <c r="Q2" s="75"/>
      <c r="R2" s="75"/>
      <c r="S2" s="75"/>
    </row>
    <row r="3" spans="1:19" s="76" customFormat="1" x14ac:dyDescent="0.25">
      <c r="A3" s="79" t="s">
        <v>592</v>
      </c>
      <c r="B3" s="109" t="s">
        <v>593</v>
      </c>
      <c r="C3" s="109"/>
      <c r="D3" s="109"/>
      <c r="E3" s="109"/>
      <c r="F3" s="109"/>
      <c r="G3" s="77"/>
      <c r="H3" s="77"/>
      <c r="I3" s="77"/>
      <c r="J3" s="77"/>
      <c r="K3" s="77"/>
      <c r="L3" s="77"/>
      <c r="M3" s="77"/>
      <c r="N3" s="77"/>
      <c r="O3" s="77"/>
      <c r="P3" s="77"/>
      <c r="Q3" s="77"/>
      <c r="R3" s="77"/>
      <c r="S3" s="77"/>
    </row>
    <row r="4" spans="1:19" s="76" customFormat="1" ht="31.5" customHeight="1" x14ac:dyDescent="0.25">
      <c r="A4" s="79" t="s">
        <v>594</v>
      </c>
      <c r="B4" s="109" t="s">
        <v>595</v>
      </c>
      <c r="C4" s="109"/>
      <c r="D4" s="109"/>
      <c r="E4" s="109"/>
      <c r="F4" s="109"/>
      <c r="G4" s="77"/>
      <c r="H4" s="77"/>
      <c r="I4" s="77"/>
      <c r="J4" s="77"/>
      <c r="K4" s="77"/>
      <c r="L4" s="77"/>
      <c r="M4" s="77"/>
      <c r="N4" s="77"/>
      <c r="O4" s="77"/>
      <c r="P4" s="77"/>
      <c r="Q4" s="77"/>
      <c r="R4" s="77"/>
      <c r="S4" s="77"/>
    </row>
    <row r="5" spans="1:19" x14ac:dyDescent="0.25">
      <c r="A5" s="75"/>
      <c r="B5" s="75"/>
      <c r="C5" s="75"/>
      <c r="D5" s="75"/>
      <c r="E5" s="75"/>
      <c r="F5" s="75"/>
      <c r="G5" s="75"/>
      <c r="H5" s="75"/>
      <c r="I5" s="75"/>
      <c r="J5" s="75"/>
      <c r="K5" s="75"/>
      <c r="L5" s="75"/>
      <c r="M5" s="75"/>
      <c r="N5" s="75"/>
      <c r="O5" s="75"/>
      <c r="P5" s="75"/>
      <c r="Q5" s="75"/>
      <c r="R5" s="75"/>
      <c r="S5" s="75"/>
    </row>
    <row r="6" spans="1:19" x14ac:dyDescent="0.25">
      <c r="A6" s="78" t="s">
        <v>596</v>
      </c>
      <c r="B6" s="78"/>
      <c r="C6" s="75"/>
      <c r="D6" s="75"/>
      <c r="E6" s="75"/>
      <c r="F6" s="75"/>
      <c r="G6" s="75"/>
      <c r="H6" s="75"/>
      <c r="I6" s="75"/>
      <c r="J6" s="75"/>
      <c r="K6" s="75"/>
      <c r="L6" s="75"/>
      <c r="M6" s="75"/>
      <c r="N6" s="75"/>
      <c r="O6" s="75"/>
      <c r="P6" s="75"/>
      <c r="Q6" s="75"/>
      <c r="R6" s="75"/>
      <c r="S6" s="75"/>
    </row>
    <row r="7" spans="1:19" x14ac:dyDescent="0.25">
      <c r="A7" s="78" t="s">
        <v>642</v>
      </c>
      <c r="B7" s="75"/>
      <c r="C7" s="75"/>
      <c r="D7" s="75"/>
      <c r="E7" s="75"/>
      <c r="F7" s="75"/>
      <c r="G7" s="75"/>
      <c r="H7" s="75"/>
      <c r="I7" s="75"/>
      <c r="J7" s="75"/>
      <c r="K7" s="75"/>
      <c r="L7" s="75"/>
      <c r="M7" s="75"/>
      <c r="N7" s="75"/>
      <c r="O7" s="75"/>
      <c r="P7" s="75"/>
      <c r="Q7" s="75"/>
      <c r="R7" s="75"/>
      <c r="S7" s="75"/>
    </row>
    <row r="8" spans="1:19" x14ac:dyDescent="0.25">
      <c r="A8" s="75"/>
      <c r="B8" s="75"/>
      <c r="C8" s="75"/>
      <c r="D8" s="75"/>
      <c r="E8" s="75"/>
      <c r="F8" s="75"/>
      <c r="G8" s="75"/>
      <c r="H8" s="75"/>
      <c r="I8" s="75"/>
      <c r="J8" s="75"/>
      <c r="K8" s="75"/>
      <c r="L8" s="75"/>
      <c r="M8" s="75"/>
      <c r="N8" s="75"/>
      <c r="O8" s="75"/>
      <c r="P8" s="75"/>
      <c r="Q8" s="75"/>
      <c r="R8" s="75"/>
      <c r="S8" s="75"/>
    </row>
    <row r="9" spans="1:19" ht="45" x14ac:dyDescent="0.25">
      <c r="A9" s="84" t="s">
        <v>0</v>
      </c>
      <c r="B9" s="84" t="s">
        <v>1</v>
      </c>
      <c r="C9" s="84" t="s">
        <v>2</v>
      </c>
      <c r="D9" s="84" t="s">
        <v>641</v>
      </c>
      <c r="E9" s="85" t="s">
        <v>643</v>
      </c>
      <c r="F9" s="85" t="s">
        <v>644</v>
      </c>
      <c r="G9" s="75"/>
      <c r="H9" s="75"/>
      <c r="I9" s="75"/>
      <c r="J9" s="75"/>
      <c r="K9" s="75"/>
      <c r="L9" s="75"/>
      <c r="M9" s="75"/>
      <c r="N9" s="75"/>
      <c r="O9" s="75"/>
      <c r="P9" s="75"/>
      <c r="Q9" s="75"/>
      <c r="R9" s="75"/>
      <c r="S9" s="75"/>
    </row>
    <row r="10" spans="1:19" ht="30" x14ac:dyDescent="0.25">
      <c r="A10" s="80" t="s">
        <v>27</v>
      </c>
      <c r="B10" s="83" t="s">
        <v>597</v>
      </c>
      <c r="C10" s="80">
        <v>1</v>
      </c>
      <c r="D10" s="80">
        <v>3</v>
      </c>
      <c r="E10" s="80">
        <f>Carbon_footprint!E2</f>
        <v>5.1863975999999999E-3</v>
      </c>
      <c r="F10" s="80">
        <f>E10*D10</f>
        <v>1.55591928E-2</v>
      </c>
      <c r="G10" s="75"/>
      <c r="H10" s="75"/>
      <c r="I10" s="75"/>
      <c r="J10" s="75"/>
      <c r="K10" s="75"/>
      <c r="L10" s="75"/>
      <c r="M10" s="75"/>
      <c r="N10" s="75"/>
      <c r="O10" s="75"/>
      <c r="P10" s="75"/>
      <c r="Q10" s="75"/>
      <c r="R10" s="75"/>
      <c r="S10" s="75"/>
    </row>
    <row r="11" spans="1:19" x14ac:dyDescent="0.25">
      <c r="A11" s="80" t="s">
        <v>28</v>
      </c>
      <c r="B11" s="83" t="s">
        <v>598</v>
      </c>
      <c r="C11" s="80">
        <v>1</v>
      </c>
      <c r="D11" s="80">
        <v>3</v>
      </c>
      <c r="E11" s="80">
        <f>Carbon_footprint!E3</f>
        <v>1.8721390799999999E-4</v>
      </c>
      <c r="F11" s="80">
        <f t="shared" ref="F11:F53" si="0">E11*D11</f>
        <v>5.6164172400000002E-4</v>
      </c>
      <c r="G11" s="75"/>
      <c r="H11" s="75"/>
      <c r="I11" s="75"/>
      <c r="J11" s="75"/>
      <c r="K11" s="75"/>
      <c r="L11" s="75"/>
      <c r="M11" s="75"/>
      <c r="N11" s="75"/>
      <c r="O11" s="75"/>
      <c r="P11" s="75"/>
      <c r="Q11" s="75"/>
      <c r="R11" s="75"/>
      <c r="S11" s="75"/>
    </row>
    <row r="12" spans="1:19" x14ac:dyDescent="0.25">
      <c r="A12" s="80" t="s">
        <v>7</v>
      </c>
      <c r="B12" s="83" t="s">
        <v>599</v>
      </c>
      <c r="C12" s="80">
        <v>1</v>
      </c>
      <c r="D12" s="80">
        <v>3.05</v>
      </c>
      <c r="E12" s="80">
        <f>Carbon_footprint!E4</f>
        <v>1.90965E-4</v>
      </c>
      <c r="F12" s="80">
        <f t="shared" si="0"/>
        <v>5.8244324999999996E-4</v>
      </c>
      <c r="G12" s="75"/>
      <c r="H12" s="75"/>
      <c r="I12" s="75"/>
      <c r="J12" s="75"/>
      <c r="K12" s="75"/>
      <c r="L12" s="75"/>
      <c r="M12" s="75"/>
      <c r="N12" s="75"/>
      <c r="O12" s="75"/>
      <c r="P12" s="75"/>
      <c r="Q12" s="75"/>
      <c r="R12" s="75"/>
      <c r="S12" s="75"/>
    </row>
    <row r="13" spans="1:19" x14ac:dyDescent="0.25">
      <c r="A13" s="80" t="s">
        <v>9</v>
      </c>
      <c r="B13" s="83" t="s">
        <v>600</v>
      </c>
      <c r="C13" s="80">
        <v>1</v>
      </c>
      <c r="D13" s="80">
        <v>3.2</v>
      </c>
      <c r="E13" s="80">
        <f>Carbon_footprint!E5</f>
        <v>0</v>
      </c>
      <c r="F13" s="80">
        <f t="shared" si="0"/>
        <v>0</v>
      </c>
      <c r="G13" s="75"/>
      <c r="H13" s="75"/>
      <c r="I13" s="75"/>
      <c r="J13" s="75"/>
      <c r="K13" s="75"/>
      <c r="L13" s="75"/>
      <c r="M13" s="75"/>
      <c r="N13" s="75"/>
      <c r="O13" s="75"/>
      <c r="P13" s="75"/>
      <c r="Q13" s="75"/>
      <c r="R13" s="75"/>
      <c r="S13" s="75"/>
    </row>
    <row r="14" spans="1:19" ht="30" x14ac:dyDescent="0.25">
      <c r="A14" s="80" t="s">
        <v>10</v>
      </c>
      <c r="B14" s="83" t="s">
        <v>601</v>
      </c>
      <c r="C14" s="80">
        <v>1</v>
      </c>
      <c r="D14" s="80">
        <v>3.1</v>
      </c>
      <c r="E14" s="80">
        <f>Carbon_footprint!E6</f>
        <v>1.8924960320000004</v>
      </c>
      <c r="F14" s="80">
        <f t="shared" si="0"/>
        <v>5.8667376992000015</v>
      </c>
      <c r="G14" s="75"/>
      <c r="H14" s="75"/>
      <c r="I14" s="75"/>
      <c r="J14" s="75"/>
      <c r="K14" s="75"/>
      <c r="L14" s="75"/>
      <c r="M14" s="75"/>
      <c r="N14" s="75"/>
      <c r="O14" s="75"/>
      <c r="P14" s="75"/>
      <c r="Q14" s="75"/>
      <c r="R14" s="75"/>
      <c r="S14" s="75"/>
    </row>
    <row r="15" spans="1:19" ht="30" x14ac:dyDescent="0.25">
      <c r="A15" s="80" t="s">
        <v>29</v>
      </c>
      <c r="B15" s="83" t="s">
        <v>602</v>
      </c>
      <c r="C15" s="80">
        <v>1</v>
      </c>
      <c r="D15" s="80">
        <v>3.2</v>
      </c>
      <c r="E15" s="80">
        <f>Carbon_footprint!E7</f>
        <v>3.6425937874800001</v>
      </c>
      <c r="F15" s="80">
        <f t="shared" si="0"/>
        <v>11.656300119936001</v>
      </c>
      <c r="G15" s="75"/>
      <c r="H15" s="75"/>
      <c r="I15" s="75"/>
      <c r="J15" s="75"/>
      <c r="K15" s="75"/>
      <c r="L15" s="75"/>
      <c r="M15" s="75"/>
      <c r="N15" s="75"/>
      <c r="O15" s="75"/>
      <c r="P15" s="75"/>
      <c r="Q15" s="75"/>
      <c r="R15" s="75"/>
      <c r="S15" s="75"/>
    </row>
    <row r="16" spans="1:19" ht="30" x14ac:dyDescent="0.25">
      <c r="A16" s="80" t="s">
        <v>15</v>
      </c>
      <c r="B16" s="83" t="s">
        <v>603</v>
      </c>
      <c r="C16" s="80">
        <v>1</v>
      </c>
      <c r="D16" s="80">
        <v>3.05</v>
      </c>
      <c r="E16" s="80">
        <f>Carbon_footprint!E8</f>
        <v>0.17991645390583977</v>
      </c>
      <c r="F16" s="80">
        <f t="shared" si="0"/>
        <v>0.54874518441281128</v>
      </c>
      <c r="G16" s="75"/>
      <c r="H16" s="75"/>
      <c r="I16" s="75"/>
      <c r="J16" s="75"/>
      <c r="K16" s="75"/>
      <c r="L16" s="75"/>
      <c r="M16" s="75"/>
      <c r="N16" s="75"/>
      <c r="O16" s="75"/>
      <c r="P16" s="75"/>
      <c r="Q16" s="75"/>
      <c r="R16" s="75"/>
      <c r="S16" s="75"/>
    </row>
    <row r="17" spans="1:19" ht="30" x14ac:dyDescent="0.25">
      <c r="A17" s="80" t="s">
        <v>16</v>
      </c>
      <c r="B17" s="83" t="s">
        <v>604</v>
      </c>
      <c r="C17" s="80">
        <v>1</v>
      </c>
      <c r="D17" s="80">
        <v>3.05</v>
      </c>
      <c r="E17" s="80">
        <f>Carbon_footprint!E9</f>
        <v>0</v>
      </c>
      <c r="F17" s="80">
        <f t="shared" si="0"/>
        <v>0</v>
      </c>
      <c r="G17" s="75"/>
      <c r="H17" s="75"/>
      <c r="I17" s="75"/>
      <c r="J17" s="75"/>
      <c r="K17" s="75"/>
      <c r="L17" s="75"/>
      <c r="M17" s="75"/>
      <c r="N17" s="75"/>
      <c r="O17" s="75"/>
      <c r="P17" s="75"/>
      <c r="Q17" s="75"/>
      <c r="R17" s="75"/>
      <c r="S17" s="75"/>
    </row>
    <row r="18" spans="1:19" ht="30" x14ac:dyDescent="0.25">
      <c r="A18" s="80" t="s">
        <v>157</v>
      </c>
      <c r="B18" s="83" t="s">
        <v>605</v>
      </c>
      <c r="C18" s="80">
        <v>1</v>
      </c>
      <c r="D18" s="80">
        <v>3</v>
      </c>
      <c r="E18" s="80">
        <f>Carbon_footprint!E10</f>
        <v>1.3619736216</v>
      </c>
      <c r="F18" s="80">
        <f t="shared" si="0"/>
        <v>4.0859208648000003</v>
      </c>
      <c r="G18" s="75"/>
      <c r="H18" s="75"/>
      <c r="I18" s="75"/>
      <c r="J18" s="75"/>
      <c r="K18" s="75"/>
      <c r="L18" s="75"/>
      <c r="M18" s="75"/>
      <c r="N18" s="75"/>
      <c r="O18" s="75"/>
      <c r="P18" s="75"/>
      <c r="Q18" s="75"/>
      <c r="R18" s="75"/>
      <c r="S18" s="75"/>
    </row>
    <row r="19" spans="1:19" ht="30" x14ac:dyDescent="0.25">
      <c r="A19" s="80" t="s">
        <v>233</v>
      </c>
      <c r="B19" s="83" t="s">
        <v>606</v>
      </c>
      <c r="C19" s="80">
        <v>1</v>
      </c>
      <c r="D19" s="80">
        <v>3</v>
      </c>
      <c r="E19" s="80">
        <f>Carbon_footprint!E11</f>
        <v>5.6102676826199994E-2</v>
      </c>
      <c r="F19" s="80">
        <f t="shared" si="0"/>
        <v>0.16830803047859999</v>
      </c>
      <c r="G19" s="75"/>
      <c r="H19" s="75"/>
      <c r="I19" s="75"/>
      <c r="J19" s="75"/>
      <c r="K19" s="75"/>
      <c r="L19" s="75"/>
      <c r="M19" s="75"/>
      <c r="N19" s="75"/>
      <c r="O19" s="75"/>
      <c r="P19" s="75"/>
      <c r="Q19" s="75"/>
      <c r="R19" s="75"/>
      <c r="S19" s="75"/>
    </row>
    <row r="20" spans="1:19" x14ac:dyDescent="0.25">
      <c r="A20" s="80" t="s">
        <v>18</v>
      </c>
      <c r="B20" s="83" t="s">
        <v>607</v>
      </c>
      <c r="C20" s="80">
        <v>1</v>
      </c>
      <c r="D20" s="80">
        <v>3</v>
      </c>
      <c r="E20" s="80">
        <f>Carbon_footprint!E12</f>
        <v>2.267568E-2</v>
      </c>
      <c r="F20" s="80">
        <f t="shared" si="0"/>
        <v>6.8027039999999997E-2</v>
      </c>
      <c r="G20" s="75"/>
      <c r="H20" s="75"/>
      <c r="I20" s="75"/>
      <c r="J20" s="75"/>
      <c r="K20" s="75"/>
      <c r="L20" s="75"/>
      <c r="M20" s="75"/>
      <c r="N20" s="75"/>
      <c r="O20" s="75"/>
      <c r="P20" s="75"/>
      <c r="Q20" s="75"/>
      <c r="R20" s="75"/>
      <c r="S20" s="75"/>
    </row>
    <row r="21" spans="1:19" ht="30" x14ac:dyDescent="0.25">
      <c r="A21" s="80" t="s">
        <v>20</v>
      </c>
      <c r="B21" s="83" t="s">
        <v>608</v>
      </c>
      <c r="C21" s="80">
        <v>1</v>
      </c>
      <c r="D21" s="80">
        <v>3.1</v>
      </c>
      <c r="E21" s="80">
        <f>Carbon_footprint!E13</f>
        <v>1.7563312166399999E-3</v>
      </c>
      <c r="F21" s="80">
        <f t="shared" si="0"/>
        <v>5.444626771584E-3</v>
      </c>
      <c r="G21" s="75"/>
      <c r="H21" s="75"/>
      <c r="I21" s="75"/>
      <c r="J21" s="75"/>
      <c r="K21" s="75"/>
      <c r="L21" s="75"/>
      <c r="M21" s="75"/>
      <c r="N21" s="75"/>
      <c r="O21" s="75"/>
      <c r="P21" s="75"/>
      <c r="Q21" s="75"/>
      <c r="R21" s="75"/>
      <c r="S21" s="75"/>
    </row>
    <row r="22" spans="1:19" ht="30" x14ac:dyDescent="0.25">
      <c r="A22" s="80" t="s">
        <v>280</v>
      </c>
      <c r="B22" s="83" t="s">
        <v>609</v>
      </c>
      <c r="C22" s="80">
        <v>1</v>
      </c>
      <c r="D22" s="80">
        <v>3.2</v>
      </c>
      <c r="E22" s="80">
        <f>Carbon_footprint!E14</f>
        <v>0.23050656</v>
      </c>
      <c r="F22" s="80">
        <f t="shared" si="0"/>
        <v>0.73762099200000009</v>
      </c>
      <c r="G22" s="75"/>
      <c r="H22" s="75"/>
      <c r="I22" s="75"/>
      <c r="J22" s="75"/>
      <c r="K22" s="75"/>
      <c r="L22" s="75"/>
      <c r="M22" s="75"/>
      <c r="N22" s="75"/>
      <c r="O22" s="75"/>
      <c r="P22" s="75"/>
      <c r="Q22" s="75"/>
      <c r="R22" s="75"/>
      <c r="S22" s="75"/>
    </row>
    <row r="23" spans="1:19" x14ac:dyDescent="0.25">
      <c r="A23" s="80" t="s">
        <v>21</v>
      </c>
      <c r="B23" s="83" t="s">
        <v>610</v>
      </c>
      <c r="C23" s="80">
        <v>1</v>
      </c>
      <c r="D23" s="80">
        <v>3.1</v>
      </c>
      <c r="E23" s="80">
        <f>Carbon_footprint!E15</f>
        <v>3.0420720000000002E-2</v>
      </c>
      <c r="F23" s="80">
        <f t="shared" si="0"/>
        <v>9.4304232000000002E-2</v>
      </c>
      <c r="G23" s="75"/>
      <c r="H23" s="75"/>
      <c r="I23" s="75"/>
      <c r="J23" s="75"/>
      <c r="K23" s="75"/>
      <c r="L23" s="75"/>
      <c r="M23" s="75"/>
      <c r="N23" s="75"/>
      <c r="O23" s="75"/>
      <c r="P23" s="75"/>
      <c r="Q23" s="75"/>
      <c r="R23" s="75"/>
      <c r="S23" s="75"/>
    </row>
    <row r="24" spans="1:19" ht="30" x14ac:dyDescent="0.25">
      <c r="A24" s="80" t="s">
        <v>24</v>
      </c>
      <c r="B24" s="83" t="s">
        <v>611</v>
      </c>
      <c r="C24" s="80">
        <v>2</v>
      </c>
      <c r="D24" s="80">
        <v>3.2</v>
      </c>
      <c r="E24" s="80">
        <f>Carbon_footprint!E16</f>
        <v>0.20549072208559999</v>
      </c>
      <c r="F24" s="80">
        <f t="shared" si="0"/>
        <v>0.65757031067392002</v>
      </c>
      <c r="G24" s="75"/>
      <c r="H24" s="75"/>
      <c r="I24" s="75"/>
      <c r="J24" s="75"/>
      <c r="K24" s="75"/>
      <c r="L24" s="75"/>
      <c r="M24" s="75"/>
      <c r="N24" s="75"/>
      <c r="O24" s="75"/>
      <c r="P24" s="75"/>
      <c r="Q24" s="75"/>
      <c r="R24" s="75"/>
      <c r="S24" s="75"/>
    </row>
    <row r="25" spans="1:19" ht="30" x14ac:dyDescent="0.25">
      <c r="A25" s="80" t="s">
        <v>26</v>
      </c>
      <c r="B25" s="83" t="s">
        <v>612</v>
      </c>
      <c r="C25" s="80">
        <v>3</v>
      </c>
      <c r="D25" s="80">
        <v>3.1</v>
      </c>
      <c r="E25" s="80">
        <f>Carbon_footprint!E17</f>
        <v>2.7720000000000002E-3</v>
      </c>
      <c r="F25" s="80">
        <f t="shared" si="0"/>
        <v>8.5932000000000005E-3</v>
      </c>
      <c r="G25" s="75"/>
      <c r="H25" s="75"/>
      <c r="I25" s="75"/>
      <c r="J25" s="75"/>
      <c r="K25" s="75"/>
      <c r="L25" s="75"/>
      <c r="M25" s="75"/>
      <c r="N25" s="75"/>
      <c r="O25" s="75"/>
      <c r="P25" s="75"/>
      <c r="Q25" s="75"/>
      <c r="R25" s="75"/>
      <c r="S25" s="75"/>
    </row>
    <row r="26" spans="1:19" ht="30" x14ac:dyDescent="0.25">
      <c r="A26" s="80" t="s">
        <v>30</v>
      </c>
      <c r="B26" s="83" t="s">
        <v>613</v>
      </c>
      <c r="C26" s="80">
        <v>3</v>
      </c>
      <c r="D26" s="80">
        <v>3.1</v>
      </c>
      <c r="E26" s="80">
        <f>Carbon_footprint!E18</f>
        <v>0.14288520000000002</v>
      </c>
      <c r="F26" s="80">
        <f t="shared" si="0"/>
        <v>0.44294412000000005</v>
      </c>
      <c r="G26" s="75"/>
      <c r="H26" s="75"/>
      <c r="I26" s="75"/>
      <c r="J26" s="75"/>
      <c r="K26" s="75"/>
      <c r="L26" s="75"/>
      <c r="M26" s="75"/>
      <c r="N26" s="75"/>
      <c r="O26" s="75"/>
      <c r="P26" s="75"/>
      <c r="Q26" s="75"/>
      <c r="R26" s="75"/>
      <c r="S26" s="75"/>
    </row>
    <row r="27" spans="1:19" ht="30" x14ac:dyDescent="0.25">
      <c r="A27" s="80" t="s">
        <v>32</v>
      </c>
      <c r="B27" s="83" t="s">
        <v>614</v>
      </c>
      <c r="C27" s="80">
        <v>3</v>
      </c>
      <c r="D27" s="80">
        <v>3.05</v>
      </c>
      <c r="E27" s="80">
        <f>Carbon_footprint!E19</f>
        <v>2.6631396000000002E-2</v>
      </c>
      <c r="F27" s="80">
        <f t="shared" si="0"/>
        <v>8.1225757800000006E-2</v>
      </c>
      <c r="G27" s="75"/>
      <c r="H27" s="75"/>
      <c r="I27" s="75"/>
      <c r="J27" s="75"/>
      <c r="K27" s="75"/>
      <c r="L27" s="75"/>
      <c r="M27" s="75"/>
      <c r="N27" s="75"/>
      <c r="O27" s="75"/>
      <c r="P27" s="75"/>
      <c r="Q27" s="75"/>
      <c r="R27" s="75"/>
      <c r="S27" s="75"/>
    </row>
    <row r="28" spans="1:19" x14ac:dyDescent="0.25">
      <c r="A28" s="80" t="s">
        <v>37</v>
      </c>
      <c r="B28" s="83" t="s">
        <v>615</v>
      </c>
      <c r="C28" s="80">
        <v>3</v>
      </c>
      <c r="D28" s="80">
        <v>3.2</v>
      </c>
      <c r="E28" s="80">
        <f>Carbon_footprint!E20</f>
        <v>8.8075959999999995E-2</v>
      </c>
      <c r="F28" s="80">
        <f t="shared" si="0"/>
        <v>0.28184307199999997</v>
      </c>
      <c r="G28" s="75"/>
      <c r="H28" s="75"/>
      <c r="I28" s="75"/>
      <c r="J28" s="75"/>
      <c r="K28" s="75"/>
      <c r="L28" s="75"/>
      <c r="M28" s="75"/>
      <c r="N28" s="75"/>
      <c r="O28" s="75"/>
      <c r="P28" s="75"/>
      <c r="Q28" s="75"/>
      <c r="R28" s="75"/>
      <c r="S28" s="75"/>
    </row>
    <row r="29" spans="1:19" x14ac:dyDescent="0.25">
      <c r="A29" s="80" t="s">
        <v>38</v>
      </c>
      <c r="B29" s="83" t="s">
        <v>616</v>
      </c>
      <c r="C29" s="80">
        <v>3</v>
      </c>
      <c r="D29" s="80">
        <v>3.05</v>
      </c>
      <c r="E29" s="80">
        <f>Carbon_footprint!E21</f>
        <v>0</v>
      </c>
      <c r="F29" s="80">
        <f t="shared" si="0"/>
        <v>0</v>
      </c>
      <c r="G29" s="75"/>
      <c r="H29" s="75"/>
      <c r="I29" s="75"/>
      <c r="J29" s="75"/>
      <c r="K29" s="75"/>
      <c r="L29" s="75"/>
      <c r="M29" s="75"/>
      <c r="N29" s="75"/>
      <c r="O29" s="75"/>
      <c r="P29" s="75"/>
      <c r="Q29" s="75"/>
      <c r="R29" s="75"/>
      <c r="S29" s="75"/>
    </row>
    <row r="30" spans="1:19" ht="30" x14ac:dyDescent="0.25">
      <c r="A30" s="80" t="s">
        <v>40</v>
      </c>
      <c r="B30" s="83" t="s">
        <v>617</v>
      </c>
      <c r="C30" s="80">
        <v>3</v>
      </c>
      <c r="D30" s="80">
        <v>3.05</v>
      </c>
      <c r="E30" s="80">
        <f>Carbon_footprint!E22</f>
        <v>4.32E-5</v>
      </c>
      <c r="F30" s="80">
        <f t="shared" si="0"/>
        <v>1.3176E-4</v>
      </c>
      <c r="G30" s="75"/>
      <c r="H30" s="75"/>
      <c r="I30" s="75"/>
      <c r="J30" s="75"/>
      <c r="K30" s="75"/>
      <c r="L30" s="75"/>
      <c r="M30" s="75"/>
      <c r="N30" s="75"/>
      <c r="O30" s="75"/>
      <c r="P30" s="75"/>
      <c r="Q30" s="75"/>
      <c r="R30" s="75"/>
      <c r="S30" s="75"/>
    </row>
    <row r="31" spans="1:19" ht="30" x14ac:dyDescent="0.25">
      <c r="A31" s="80" t="s">
        <v>42</v>
      </c>
      <c r="B31" s="83" t="s">
        <v>618</v>
      </c>
      <c r="C31" s="80">
        <v>3</v>
      </c>
      <c r="D31" s="80">
        <v>3.2</v>
      </c>
      <c r="E31" s="80">
        <f>Carbon_footprint!E23</f>
        <v>0</v>
      </c>
      <c r="F31" s="80">
        <f t="shared" si="0"/>
        <v>0</v>
      </c>
      <c r="G31" s="75"/>
      <c r="H31" s="75"/>
      <c r="I31" s="75"/>
      <c r="J31" s="75"/>
      <c r="K31" s="75"/>
      <c r="L31" s="75"/>
      <c r="M31" s="75"/>
      <c r="N31" s="75"/>
      <c r="O31" s="75"/>
      <c r="P31" s="75"/>
      <c r="Q31" s="75"/>
      <c r="R31" s="75"/>
      <c r="S31" s="75"/>
    </row>
    <row r="32" spans="1:19" ht="30" x14ac:dyDescent="0.25">
      <c r="A32" s="80" t="s">
        <v>44</v>
      </c>
      <c r="B32" s="83" t="s">
        <v>619</v>
      </c>
      <c r="C32" s="80">
        <v>3</v>
      </c>
      <c r="D32" s="80">
        <v>3.1</v>
      </c>
      <c r="E32" s="80">
        <f>Carbon_footprint!E24</f>
        <v>1.0014171264000001E-2</v>
      </c>
      <c r="F32" s="80">
        <f t="shared" si="0"/>
        <v>3.1043930918400006E-2</v>
      </c>
      <c r="G32" s="75"/>
      <c r="H32" s="75"/>
      <c r="I32" s="75"/>
      <c r="J32" s="75"/>
      <c r="K32" s="75"/>
      <c r="L32" s="75"/>
      <c r="M32" s="75"/>
      <c r="N32" s="75"/>
      <c r="O32" s="75"/>
      <c r="P32" s="75"/>
      <c r="Q32" s="75"/>
      <c r="R32" s="75"/>
      <c r="S32" s="75"/>
    </row>
    <row r="33" spans="1:19" ht="30" x14ac:dyDescent="0.25">
      <c r="A33" s="80" t="s">
        <v>45</v>
      </c>
      <c r="B33" s="83" t="s">
        <v>620</v>
      </c>
      <c r="C33" s="80">
        <v>3</v>
      </c>
      <c r="D33" s="80">
        <v>3</v>
      </c>
      <c r="E33" s="80">
        <f>Carbon_footprint!E25</f>
        <v>0</v>
      </c>
      <c r="F33" s="80">
        <f t="shared" si="0"/>
        <v>0</v>
      </c>
      <c r="G33" s="75"/>
      <c r="H33" s="75"/>
      <c r="I33" s="75"/>
      <c r="J33" s="75"/>
      <c r="K33" s="75"/>
      <c r="L33" s="75"/>
      <c r="M33" s="75"/>
      <c r="N33" s="75"/>
      <c r="O33" s="75"/>
      <c r="P33" s="75"/>
      <c r="Q33" s="75"/>
      <c r="R33" s="75"/>
      <c r="S33" s="75"/>
    </row>
    <row r="34" spans="1:19" ht="30" x14ac:dyDescent="0.25">
      <c r="A34" s="80" t="s">
        <v>48</v>
      </c>
      <c r="B34" s="83" t="s">
        <v>621</v>
      </c>
      <c r="C34" s="80">
        <v>3</v>
      </c>
      <c r="D34" s="80">
        <v>3</v>
      </c>
      <c r="E34" s="80">
        <f>Carbon_footprint!E26</f>
        <v>6.9002999999999998E-3</v>
      </c>
      <c r="F34" s="80">
        <f t="shared" si="0"/>
        <v>2.0700900000000001E-2</v>
      </c>
      <c r="G34" s="75"/>
      <c r="H34" s="75"/>
      <c r="I34" s="75"/>
      <c r="J34" s="75"/>
      <c r="K34" s="75"/>
      <c r="L34" s="75"/>
      <c r="M34" s="75"/>
      <c r="N34" s="75"/>
      <c r="O34" s="75"/>
      <c r="P34" s="75"/>
      <c r="Q34" s="75"/>
      <c r="R34" s="75"/>
      <c r="S34" s="75"/>
    </row>
    <row r="35" spans="1:19" x14ac:dyDescent="0.25">
      <c r="A35" s="80" t="s">
        <v>50</v>
      </c>
      <c r="B35" s="83" t="s">
        <v>622</v>
      </c>
      <c r="C35" s="80">
        <v>3</v>
      </c>
      <c r="D35" s="80">
        <v>3</v>
      </c>
      <c r="E35" s="80">
        <f>Carbon_footprint!E27</f>
        <v>2.9788800000000002E-3</v>
      </c>
      <c r="F35" s="80">
        <f t="shared" si="0"/>
        <v>8.9366400000000009E-3</v>
      </c>
      <c r="G35" s="75"/>
      <c r="H35" s="75"/>
      <c r="I35" s="75"/>
      <c r="J35" s="75"/>
      <c r="K35" s="75"/>
      <c r="L35" s="75"/>
      <c r="M35" s="75"/>
      <c r="N35" s="75"/>
      <c r="O35" s="75"/>
      <c r="P35" s="75"/>
      <c r="Q35" s="75"/>
      <c r="R35" s="75"/>
      <c r="S35" s="75"/>
    </row>
    <row r="36" spans="1:19" ht="30" x14ac:dyDescent="0.25">
      <c r="A36" s="1" t="s">
        <v>51</v>
      </c>
      <c r="B36" s="81" t="s">
        <v>623</v>
      </c>
      <c r="C36" s="80">
        <v>3</v>
      </c>
      <c r="D36" s="1">
        <v>3</v>
      </c>
      <c r="E36" s="80">
        <f>Carbon_footprint!E28</f>
        <v>0.79277399999999998</v>
      </c>
      <c r="F36" s="80">
        <f t="shared" si="0"/>
        <v>2.3783219999999998</v>
      </c>
    </row>
    <row r="37" spans="1:19" x14ac:dyDescent="0.25">
      <c r="A37" s="1" t="s">
        <v>52</v>
      </c>
      <c r="B37" s="81" t="s">
        <v>624</v>
      </c>
      <c r="C37" s="80">
        <v>3</v>
      </c>
      <c r="D37" s="1">
        <v>3</v>
      </c>
      <c r="E37" s="80">
        <f>Carbon_footprint!E29</f>
        <v>0.3948912</v>
      </c>
      <c r="F37" s="80">
        <f t="shared" si="0"/>
        <v>1.1846736</v>
      </c>
    </row>
    <row r="38" spans="1:19" x14ac:dyDescent="0.25">
      <c r="A38" s="1" t="s">
        <v>56</v>
      </c>
      <c r="B38" s="81" t="s">
        <v>625</v>
      </c>
      <c r="C38" s="80">
        <v>3</v>
      </c>
      <c r="D38" s="1">
        <v>3.2</v>
      </c>
      <c r="E38" s="80">
        <f>Carbon_footprint!E30</f>
        <v>0.55141192173374987</v>
      </c>
      <c r="F38" s="80">
        <f t="shared" si="0"/>
        <v>1.7645181495479996</v>
      </c>
    </row>
    <row r="39" spans="1:19" ht="30" x14ac:dyDescent="0.25">
      <c r="A39" s="1" t="s">
        <v>58</v>
      </c>
      <c r="B39" s="81" t="s">
        <v>626</v>
      </c>
      <c r="C39" s="80">
        <v>3</v>
      </c>
      <c r="D39" s="1">
        <v>3</v>
      </c>
      <c r="E39" s="80">
        <f>Carbon_footprint!E31</f>
        <v>5.5117469108000005E-5</v>
      </c>
      <c r="F39" s="80">
        <f t="shared" si="0"/>
        <v>1.6535240732400001E-4</v>
      </c>
    </row>
    <row r="40" spans="1:19" ht="30" x14ac:dyDescent="0.25">
      <c r="A40" s="1" t="s">
        <v>59</v>
      </c>
      <c r="B40" s="81" t="s">
        <v>627</v>
      </c>
      <c r="C40" s="80">
        <v>3</v>
      </c>
      <c r="D40" s="1">
        <v>3.1</v>
      </c>
      <c r="E40" s="80">
        <f>Carbon_footprint!E32</f>
        <v>1.4123084999999999E-2</v>
      </c>
      <c r="F40" s="80">
        <f t="shared" si="0"/>
        <v>4.3781563499999995E-2</v>
      </c>
    </row>
    <row r="41" spans="1:19" x14ac:dyDescent="0.25">
      <c r="A41" s="1" t="s">
        <v>62</v>
      </c>
      <c r="B41" s="81" t="s">
        <v>628</v>
      </c>
      <c r="C41" s="80">
        <v>3</v>
      </c>
      <c r="D41" s="1">
        <v>3.2</v>
      </c>
      <c r="E41" s="80">
        <f>Carbon_footprint!E33</f>
        <v>3.1681999999999999E-3</v>
      </c>
      <c r="F41" s="80">
        <f t="shared" si="0"/>
        <v>1.013824E-2</v>
      </c>
    </row>
    <row r="42" spans="1:19" x14ac:dyDescent="0.25">
      <c r="A42" s="1" t="s">
        <v>64</v>
      </c>
      <c r="B42" s="81" t="s">
        <v>629</v>
      </c>
      <c r="C42" s="80">
        <v>3</v>
      </c>
      <c r="D42" s="1">
        <v>3.2</v>
      </c>
      <c r="E42" s="80">
        <f>Carbon_footprint!E34</f>
        <v>0.15210360000000001</v>
      </c>
      <c r="F42" s="80">
        <f t="shared" si="0"/>
        <v>0.48673152000000003</v>
      </c>
    </row>
    <row r="43" spans="1:19" x14ac:dyDescent="0.25">
      <c r="A43" s="1" t="s">
        <v>67</v>
      </c>
      <c r="B43" s="81" t="s">
        <v>630</v>
      </c>
      <c r="C43" s="80">
        <v>3</v>
      </c>
      <c r="D43" s="1">
        <v>3.05</v>
      </c>
      <c r="E43" s="80">
        <f>Carbon_footprint!E35</f>
        <v>6.3588460541666664E-3</v>
      </c>
      <c r="F43" s="80">
        <f t="shared" si="0"/>
        <v>1.9394480465208332E-2</v>
      </c>
    </row>
    <row r="44" spans="1:19" x14ac:dyDescent="0.25">
      <c r="A44" s="1" t="s">
        <v>68</v>
      </c>
      <c r="B44" s="81" t="s">
        <v>631</v>
      </c>
      <c r="C44" s="80">
        <v>3</v>
      </c>
      <c r="D44" s="1">
        <v>3.05</v>
      </c>
      <c r="E44" s="80">
        <f>Carbon_footprint!E36</f>
        <v>0</v>
      </c>
      <c r="F44" s="80">
        <f t="shared" si="0"/>
        <v>0</v>
      </c>
    </row>
    <row r="45" spans="1:19" x14ac:dyDescent="0.25">
      <c r="A45" s="1" t="s">
        <v>69</v>
      </c>
      <c r="B45" s="81" t="s">
        <v>632</v>
      </c>
      <c r="C45" s="80">
        <v>3</v>
      </c>
      <c r="D45" s="1">
        <v>3.05</v>
      </c>
      <c r="E45" s="80">
        <f>Carbon_footprint!E37</f>
        <v>1.5062963400000001E-2</v>
      </c>
      <c r="F45" s="80">
        <f t="shared" si="0"/>
        <v>4.594203837E-2</v>
      </c>
    </row>
    <row r="46" spans="1:19" x14ac:dyDescent="0.25">
      <c r="A46" s="1" t="s">
        <v>70</v>
      </c>
      <c r="B46" s="81" t="s">
        <v>633</v>
      </c>
      <c r="C46" s="80">
        <v>3</v>
      </c>
      <c r="D46" s="1">
        <v>3.05</v>
      </c>
      <c r="E46" s="80">
        <f>Carbon_footprint!E38</f>
        <v>1.5727579999999998E-3</v>
      </c>
      <c r="F46" s="80">
        <f t="shared" si="0"/>
        <v>4.7969118999999991E-3</v>
      </c>
    </row>
    <row r="47" spans="1:19" x14ac:dyDescent="0.25">
      <c r="A47" s="1" t="s">
        <v>405</v>
      </c>
      <c r="B47" s="81" t="s">
        <v>634</v>
      </c>
      <c r="C47" s="80">
        <v>3</v>
      </c>
      <c r="D47" s="1">
        <v>3.05</v>
      </c>
      <c r="E47" s="80">
        <f>Carbon_footprint!E39</f>
        <v>8.0631596103896113E-4</v>
      </c>
      <c r="F47" s="80">
        <f t="shared" si="0"/>
        <v>2.4592636811688311E-3</v>
      </c>
    </row>
    <row r="48" spans="1:19" ht="30" x14ac:dyDescent="0.25">
      <c r="A48" s="1" t="s">
        <v>72</v>
      </c>
      <c r="B48" s="81" t="s">
        <v>635</v>
      </c>
      <c r="C48" s="80">
        <v>3</v>
      </c>
      <c r="D48" s="1">
        <v>3.2</v>
      </c>
      <c r="E48" s="80">
        <f>Carbon_footprint!E40</f>
        <v>1.4779955174400001</v>
      </c>
      <c r="F48" s="80">
        <f t="shared" si="0"/>
        <v>4.7295856558080009</v>
      </c>
    </row>
    <row r="49" spans="1:6" ht="30" x14ac:dyDescent="0.25">
      <c r="A49" s="1" t="s">
        <v>473</v>
      </c>
      <c r="B49" s="81" t="s">
        <v>636</v>
      </c>
      <c r="C49" s="80">
        <v>3</v>
      </c>
      <c r="D49" s="1">
        <v>3.2</v>
      </c>
      <c r="E49" s="80">
        <f>Carbon_footprint!E41</f>
        <v>1.145338975</v>
      </c>
      <c r="F49" s="80">
        <f t="shared" si="0"/>
        <v>3.6650847200000003</v>
      </c>
    </row>
    <row r="50" spans="1:6" ht="30" x14ac:dyDescent="0.25">
      <c r="A50" s="1" t="s">
        <v>75</v>
      </c>
      <c r="B50" s="81" t="s">
        <v>637</v>
      </c>
      <c r="C50" s="80">
        <v>3</v>
      </c>
      <c r="D50" s="1">
        <v>3</v>
      </c>
      <c r="E50" s="80">
        <f>Carbon_footprint!E42</f>
        <v>1.3091151809999999E-3</v>
      </c>
      <c r="F50" s="80">
        <f t="shared" si="0"/>
        <v>3.9273455429999996E-3</v>
      </c>
    </row>
    <row r="51" spans="1:6" ht="30" x14ac:dyDescent="0.25">
      <c r="A51" s="1" t="s">
        <v>489</v>
      </c>
      <c r="B51" s="81" t="s">
        <v>638</v>
      </c>
      <c r="C51" s="1">
        <v>1</v>
      </c>
      <c r="D51" s="1">
        <v>3.1</v>
      </c>
      <c r="E51" s="80">
        <f>Carbon_footprint!E43</f>
        <v>2.2575068532467532E-2</v>
      </c>
      <c r="F51" s="80">
        <f t="shared" si="0"/>
        <v>6.9982712450649354E-2</v>
      </c>
    </row>
    <row r="52" spans="1:6" ht="30" x14ac:dyDescent="0.25">
      <c r="A52" s="1" t="s">
        <v>491</v>
      </c>
      <c r="B52" s="81" t="s">
        <v>639</v>
      </c>
      <c r="C52" s="1">
        <v>3</v>
      </c>
      <c r="D52" s="1">
        <v>3.1</v>
      </c>
      <c r="E52" s="80">
        <f>Carbon_footprint!E44</f>
        <v>4.5149038000000009E-2</v>
      </c>
      <c r="F52" s="80">
        <f t="shared" si="0"/>
        <v>0.13996201780000003</v>
      </c>
    </row>
    <row r="53" spans="1:6" ht="30" x14ac:dyDescent="0.25">
      <c r="A53" s="1" t="s">
        <v>493</v>
      </c>
      <c r="B53" s="81" t="s">
        <v>640</v>
      </c>
      <c r="C53" s="1">
        <v>3</v>
      </c>
      <c r="D53" s="1">
        <v>3.1</v>
      </c>
      <c r="E53" s="80">
        <f>Carbon_footprint!E45</f>
        <v>2.0486898701298703E-2</v>
      </c>
      <c r="F53" s="80">
        <f t="shared" si="0"/>
        <v>6.3509385974025986E-2</v>
      </c>
    </row>
    <row r="54" spans="1:6" x14ac:dyDescent="0.25">
      <c r="D54" s="20" t="s">
        <v>225</v>
      </c>
      <c r="E54" s="78">
        <f>SUM(E10:E53)</f>
        <v>12.554980889359111</v>
      </c>
      <c r="F54" s="78">
        <f>SUM(F10:F53)</f>
        <v>39.394076716212709</v>
      </c>
    </row>
    <row r="55" spans="1:6" x14ac:dyDescent="0.25">
      <c r="C55" s="82">
        <v>1</v>
      </c>
      <c r="D55" s="82" t="s">
        <v>645</v>
      </c>
      <c r="E55" s="82">
        <f>SUMIF(C10:C53,C55,E10:E53)</f>
        <v>7.4465815080691478</v>
      </c>
      <c r="F55" s="82">
        <f>SUMIF(C10:C53,C55,F10:F53)</f>
        <v>23.31809477982365</v>
      </c>
    </row>
    <row r="56" spans="1:6" x14ac:dyDescent="0.25">
      <c r="C56" s="82">
        <v>2</v>
      </c>
      <c r="D56" s="82" t="s">
        <v>586</v>
      </c>
      <c r="E56" s="82">
        <f>SUMIF(C10:C53,C56,E10:E53)</f>
        <v>0.20549072208559999</v>
      </c>
      <c r="F56" s="82">
        <f>SUMIF(C10:C53,C56,F10:F53)</f>
        <v>0.65757031067392002</v>
      </c>
    </row>
    <row r="57" spans="1:6" x14ac:dyDescent="0.25">
      <c r="C57" s="82">
        <v>3</v>
      </c>
      <c r="D57" s="82" t="s">
        <v>585</v>
      </c>
      <c r="E57" s="82">
        <f>SUMIF(C10:C53,C57,E10:E53)</f>
        <v>4.9029086592043623</v>
      </c>
      <c r="F57" s="82">
        <f>SUMIF(C10:C53,C57,F10:F53)</f>
        <v>15.418411625715127</v>
      </c>
    </row>
    <row r="58" spans="1:6" x14ac:dyDescent="0.25">
      <c r="F58" s="44" t="s">
        <v>646</v>
      </c>
    </row>
  </sheetData>
  <mergeCells count="3">
    <mergeCell ref="A1:D1"/>
    <mergeCell ref="B3:F3"/>
    <mergeCell ref="B4:F4"/>
  </mergeCells>
  <pageMargins left="0.7" right="0.7" top="0.75" bottom="0.75" header="0.3" footer="0.3"/>
  <pageSetup paperSize="9"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9"/>
  <sheetViews>
    <sheetView topLeftCell="A25" workbookViewId="0">
      <selection activeCell="G38" sqref="G38"/>
    </sheetView>
  </sheetViews>
  <sheetFormatPr defaultRowHeight="15" x14ac:dyDescent="0.25"/>
  <cols>
    <col min="1" max="1" width="12.28515625" customWidth="1"/>
    <col min="2" max="2" width="16" customWidth="1"/>
    <col min="3" max="3" width="19" bestFit="1" customWidth="1"/>
    <col min="5" max="5" width="10.85546875" bestFit="1" customWidth="1"/>
    <col min="6" max="6" width="9.85546875" bestFit="1" customWidth="1"/>
    <col min="9" max="9" width="7.140625" bestFit="1" customWidth="1"/>
    <col min="10" max="10" width="10.85546875" bestFit="1" customWidth="1"/>
    <col min="15" max="15" width="9.85546875" bestFit="1" customWidth="1"/>
  </cols>
  <sheetData>
    <row r="1" spans="1:17" x14ac:dyDescent="0.25">
      <c r="A1" s="11" t="s">
        <v>118</v>
      </c>
      <c r="B1" s="12" t="s">
        <v>0</v>
      </c>
      <c r="C1" s="13" t="s">
        <v>119</v>
      </c>
      <c r="D1" s="6" t="s">
        <v>123</v>
      </c>
      <c r="E1" s="6" t="s">
        <v>124</v>
      </c>
      <c r="F1" s="6" t="s">
        <v>138</v>
      </c>
      <c r="G1" s="6" t="s">
        <v>519</v>
      </c>
      <c r="H1" s="9"/>
      <c r="I1" s="9"/>
      <c r="J1" s="9"/>
      <c r="K1" s="9"/>
      <c r="L1" s="9"/>
      <c r="M1" s="9"/>
      <c r="N1" s="9"/>
      <c r="O1" s="9"/>
      <c r="P1" s="9"/>
      <c r="Q1" s="9"/>
    </row>
    <row r="2" spans="1:17" x14ac:dyDescent="0.25">
      <c r="A2" s="14">
        <v>1</v>
      </c>
      <c r="B2" s="8" t="s">
        <v>27</v>
      </c>
      <c r="C2" s="8" t="s">
        <v>120</v>
      </c>
      <c r="D2" s="8">
        <v>2023</v>
      </c>
      <c r="E2" s="8" t="s">
        <v>125</v>
      </c>
      <c r="F2" s="8">
        <v>0</v>
      </c>
      <c r="G2" s="8">
        <f>F2*Emission_factor!$C$2</f>
        <v>0</v>
      </c>
      <c r="H2" s="10"/>
      <c r="I2" s="10"/>
      <c r="J2" s="10"/>
      <c r="K2" s="10"/>
      <c r="L2" s="10"/>
      <c r="M2" s="10"/>
      <c r="N2" s="10"/>
      <c r="O2" s="10"/>
    </row>
    <row r="3" spans="1:17" x14ac:dyDescent="0.25">
      <c r="A3" s="14">
        <v>2</v>
      </c>
      <c r="B3" s="8" t="s">
        <v>27</v>
      </c>
      <c r="C3" s="8" t="s">
        <v>120</v>
      </c>
      <c r="D3" s="8">
        <v>2023</v>
      </c>
      <c r="E3" s="8" t="s">
        <v>137</v>
      </c>
      <c r="F3" s="8">
        <v>0</v>
      </c>
      <c r="G3" s="8">
        <f>F3*Emission_factor!$C$2</f>
        <v>0</v>
      </c>
      <c r="H3" s="10"/>
      <c r="I3" s="10"/>
      <c r="J3" s="10"/>
      <c r="K3" s="10"/>
      <c r="L3" s="10"/>
      <c r="M3" s="10"/>
      <c r="N3" s="10"/>
      <c r="O3" s="10"/>
    </row>
    <row r="4" spans="1:17" x14ac:dyDescent="0.25">
      <c r="A4" s="14">
        <v>3</v>
      </c>
      <c r="B4" s="8" t="s">
        <v>27</v>
      </c>
      <c r="C4" s="8" t="s">
        <v>120</v>
      </c>
      <c r="D4" s="8">
        <v>2023</v>
      </c>
      <c r="E4" s="8" t="s">
        <v>127</v>
      </c>
      <c r="F4" s="8">
        <v>0</v>
      </c>
      <c r="G4" s="8">
        <f>F4*Emission_factor!$C$2</f>
        <v>0</v>
      </c>
      <c r="H4" s="10"/>
      <c r="I4" s="10"/>
      <c r="J4" s="10"/>
      <c r="K4" s="10"/>
      <c r="L4" s="10"/>
      <c r="M4" s="10"/>
      <c r="N4" s="10"/>
      <c r="O4" s="10"/>
    </row>
    <row r="5" spans="1:17" x14ac:dyDescent="0.25">
      <c r="A5" s="14">
        <v>4</v>
      </c>
      <c r="B5" s="8" t="s">
        <v>27</v>
      </c>
      <c r="C5" s="8" t="s">
        <v>120</v>
      </c>
      <c r="D5" s="8">
        <v>2023</v>
      </c>
      <c r="E5" s="8" t="s">
        <v>128</v>
      </c>
      <c r="F5" s="8">
        <v>0</v>
      </c>
      <c r="G5" s="8">
        <f>F5*Emission_factor!$C$2</f>
        <v>0</v>
      </c>
      <c r="H5" s="10"/>
      <c r="I5" s="10"/>
      <c r="J5" s="10"/>
      <c r="K5" s="10"/>
      <c r="L5" s="10"/>
      <c r="M5" s="10"/>
      <c r="N5" s="10"/>
      <c r="O5" s="10"/>
    </row>
    <row r="6" spans="1:17" x14ac:dyDescent="0.25">
      <c r="A6" s="14">
        <v>5</v>
      </c>
      <c r="B6" s="8" t="s">
        <v>27</v>
      </c>
      <c r="C6" s="8" t="s">
        <v>120</v>
      </c>
      <c r="D6" s="8">
        <v>2023</v>
      </c>
      <c r="E6" s="8" t="s">
        <v>129</v>
      </c>
      <c r="F6" s="1">
        <v>192</v>
      </c>
      <c r="G6" s="8">
        <f>F6*Emission_factor!$C$2</f>
        <v>512.23680000000002</v>
      </c>
    </row>
    <row r="7" spans="1:17" x14ac:dyDescent="0.25">
      <c r="A7" s="14">
        <v>6</v>
      </c>
      <c r="B7" s="8" t="s">
        <v>27</v>
      </c>
      <c r="C7" s="8" t="s">
        <v>120</v>
      </c>
      <c r="D7" s="8">
        <v>2023</v>
      </c>
      <c r="E7" s="8" t="s">
        <v>130</v>
      </c>
      <c r="F7" s="1">
        <v>52</v>
      </c>
      <c r="G7" s="8">
        <f>F7*Emission_factor!$C$2</f>
        <v>138.73079999999999</v>
      </c>
    </row>
    <row r="8" spans="1:17" x14ac:dyDescent="0.25">
      <c r="A8" s="14">
        <v>7</v>
      </c>
      <c r="B8" s="8" t="s">
        <v>27</v>
      </c>
      <c r="C8" s="8" t="s">
        <v>120</v>
      </c>
      <c r="D8" s="8">
        <v>2023</v>
      </c>
      <c r="E8" s="8" t="s">
        <v>131</v>
      </c>
      <c r="F8" s="1">
        <v>52</v>
      </c>
      <c r="G8" s="8">
        <f>F8*Emission_factor!$C$2</f>
        <v>138.73079999999999</v>
      </c>
    </row>
    <row r="9" spans="1:17" x14ac:dyDescent="0.25">
      <c r="A9" s="14">
        <v>8</v>
      </c>
      <c r="B9" s="8" t="s">
        <v>27</v>
      </c>
      <c r="C9" s="8" t="s">
        <v>120</v>
      </c>
      <c r="D9" s="8">
        <v>2023</v>
      </c>
      <c r="E9" s="8" t="s">
        <v>132</v>
      </c>
      <c r="F9" s="1">
        <v>100</v>
      </c>
      <c r="G9" s="8">
        <f>F9*Emission_factor!$C$2</f>
        <v>266.79000000000002</v>
      </c>
    </row>
    <row r="10" spans="1:17" x14ac:dyDescent="0.25">
      <c r="A10" s="14">
        <v>9</v>
      </c>
      <c r="B10" s="8" t="s">
        <v>27</v>
      </c>
      <c r="C10" s="8" t="s">
        <v>120</v>
      </c>
      <c r="D10" s="8">
        <v>2023</v>
      </c>
      <c r="E10" s="8" t="s">
        <v>133</v>
      </c>
      <c r="F10" s="1">
        <v>100</v>
      </c>
      <c r="G10" s="8">
        <f>F10*Emission_factor!$C$2</f>
        <v>266.79000000000002</v>
      </c>
    </row>
    <row r="11" spans="1:17" x14ac:dyDescent="0.25">
      <c r="A11" s="14">
        <v>10</v>
      </c>
      <c r="B11" s="8" t="s">
        <v>27</v>
      </c>
      <c r="C11" s="8" t="s">
        <v>120</v>
      </c>
      <c r="D11" s="8">
        <v>2024</v>
      </c>
      <c r="E11" s="8" t="s">
        <v>134</v>
      </c>
      <c r="F11" s="1">
        <v>104</v>
      </c>
      <c r="G11" s="8">
        <f>F11*Emission_factor!$C$2</f>
        <v>277.46159999999998</v>
      </c>
    </row>
    <row r="12" spans="1:17" x14ac:dyDescent="0.25">
      <c r="A12" s="14">
        <v>11</v>
      </c>
      <c r="B12" s="8" t="s">
        <v>27</v>
      </c>
      <c r="C12" s="8" t="s">
        <v>120</v>
      </c>
      <c r="D12" s="8">
        <v>2024</v>
      </c>
      <c r="E12" s="8" t="s">
        <v>135</v>
      </c>
      <c r="F12" s="1">
        <v>0</v>
      </c>
      <c r="G12" s="8">
        <f>F12*Emission_factor!$C$2</f>
        <v>0</v>
      </c>
    </row>
    <row r="13" spans="1:17" x14ac:dyDescent="0.25">
      <c r="A13" s="14">
        <v>12</v>
      </c>
      <c r="B13" s="8" t="s">
        <v>27</v>
      </c>
      <c r="C13" s="8" t="s">
        <v>120</v>
      </c>
      <c r="D13" s="8">
        <v>2024</v>
      </c>
      <c r="E13" s="8" t="s">
        <v>136</v>
      </c>
      <c r="F13" s="1">
        <v>48</v>
      </c>
      <c r="G13" s="8">
        <f>F13*Emission_factor!$C$2</f>
        <v>128.0592</v>
      </c>
    </row>
    <row r="14" spans="1:17" x14ac:dyDescent="0.25">
      <c r="A14" s="14">
        <v>13</v>
      </c>
      <c r="B14" s="8" t="s">
        <v>27</v>
      </c>
      <c r="C14" s="8" t="s">
        <v>121</v>
      </c>
      <c r="D14" s="8">
        <v>2023</v>
      </c>
      <c r="E14" s="8" t="s">
        <v>125</v>
      </c>
      <c r="F14" s="8">
        <v>0</v>
      </c>
      <c r="G14" s="8">
        <f>F14*Emission_factor!$C$2</f>
        <v>0</v>
      </c>
    </row>
    <row r="15" spans="1:17" x14ac:dyDescent="0.25">
      <c r="A15" s="14">
        <v>14</v>
      </c>
      <c r="B15" s="8" t="s">
        <v>27</v>
      </c>
      <c r="C15" s="8" t="s">
        <v>121</v>
      </c>
      <c r="D15" s="8">
        <v>2023</v>
      </c>
      <c r="E15" s="8" t="s">
        <v>137</v>
      </c>
      <c r="F15" s="8">
        <v>0</v>
      </c>
      <c r="G15" s="8">
        <f>F15*Emission_factor!$C$2</f>
        <v>0</v>
      </c>
    </row>
    <row r="16" spans="1:17" x14ac:dyDescent="0.25">
      <c r="A16" s="14">
        <v>15</v>
      </c>
      <c r="B16" s="8" t="s">
        <v>27</v>
      </c>
      <c r="C16" s="8" t="s">
        <v>121</v>
      </c>
      <c r="D16" s="8">
        <v>2023</v>
      </c>
      <c r="E16" s="8" t="s">
        <v>127</v>
      </c>
      <c r="F16" s="8">
        <v>0</v>
      </c>
      <c r="G16" s="8">
        <f>F16*Emission_factor!$C$2</f>
        <v>0</v>
      </c>
    </row>
    <row r="17" spans="1:7" x14ac:dyDescent="0.25">
      <c r="A17" s="14">
        <v>16</v>
      </c>
      <c r="B17" s="8" t="s">
        <v>27</v>
      </c>
      <c r="C17" s="8" t="s">
        <v>121</v>
      </c>
      <c r="D17" s="8">
        <v>2023</v>
      </c>
      <c r="E17" s="8" t="s">
        <v>128</v>
      </c>
      <c r="F17" s="8">
        <v>0</v>
      </c>
      <c r="G17" s="8">
        <f>F17*Emission_factor!$C$2</f>
        <v>0</v>
      </c>
    </row>
    <row r="18" spans="1:7" x14ac:dyDescent="0.25">
      <c r="A18" s="14">
        <v>17</v>
      </c>
      <c r="B18" s="8" t="s">
        <v>27</v>
      </c>
      <c r="C18" s="8" t="s">
        <v>121</v>
      </c>
      <c r="D18" s="8">
        <v>2023</v>
      </c>
      <c r="E18" s="8" t="s">
        <v>129</v>
      </c>
      <c r="F18" s="1">
        <v>192</v>
      </c>
      <c r="G18" s="8">
        <f>F18*Emission_factor!$C$2</f>
        <v>512.23680000000002</v>
      </c>
    </row>
    <row r="19" spans="1:7" x14ac:dyDescent="0.25">
      <c r="A19" s="14">
        <v>18</v>
      </c>
      <c r="B19" s="8" t="s">
        <v>27</v>
      </c>
      <c r="C19" s="8" t="s">
        <v>121</v>
      </c>
      <c r="D19" s="8">
        <v>2023</v>
      </c>
      <c r="E19" s="8" t="s">
        <v>130</v>
      </c>
      <c r="F19" s="1">
        <v>52</v>
      </c>
      <c r="G19" s="8">
        <f>F19*Emission_factor!$C$2</f>
        <v>138.73079999999999</v>
      </c>
    </row>
    <row r="20" spans="1:7" x14ac:dyDescent="0.25">
      <c r="A20" s="14">
        <v>19</v>
      </c>
      <c r="B20" s="8" t="s">
        <v>27</v>
      </c>
      <c r="C20" s="8" t="s">
        <v>121</v>
      </c>
      <c r="D20" s="8">
        <v>2023</v>
      </c>
      <c r="E20" s="8" t="s">
        <v>131</v>
      </c>
      <c r="F20" s="1">
        <v>52</v>
      </c>
      <c r="G20" s="8">
        <f>F20*Emission_factor!$C$2</f>
        <v>138.73079999999999</v>
      </c>
    </row>
    <row r="21" spans="1:7" x14ac:dyDescent="0.25">
      <c r="A21" s="14">
        <v>20</v>
      </c>
      <c r="B21" s="8" t="s">
        <v>27</v>
      </c>
      <c r="C21" s="8" t="s">
        <v>121</v>
      </c>
      <c r="D21" s="8">
        <v>2023</v>
      </c>
      <c r="E21" s="8" t="s">
        <v>132</v>
      </c>
      <c r="F21" s="1">
        <v>100</v>
      </c>
      <c r="G21" s="8">
        <f>F21*Emission_factor!$C$2</f>
        <v>266.79000000000002</v>
      </c>
    </row>
    <row r="22" spans="1:7" x14ac:dyDescent="0.25">
      <c r="A22" s="14">
        <v>21</v>
      </c>
      <c r="B22" s="8" t="s">
        <v>27</v>
      </c>
      <c r="C22" s="8" t="s">
        <v>121</v>
      </c>
      <c r="D22" s="8">
        <v>2023</v>
      </c>
      <c r="E22" s="8" t="s">
        <v>133</v>
      </c>
      <c r="F22" s="1">
        <v>100</v>
      </c>
      <c r="G22" s="8">
        <f>F22*Emission_factor!$C$2</f>
        <v>266.79000000000002</v>
      </c>
    </row>
    <row r="23" spans="1:7" x14ac:dyDescent="0.25">
      <c r="A23" s="14">
        <v>22</v>
      </c>
      <c r="B23" s="8" t="s">
        <v>27</v>
      </c>
      <c r="C23" s="8" t="s">
        <v>121</v>
      </c>
      <c r="D23" s="8">
        <v>2024</v>
      </c>
      <c r="E23" s="8" t="s">
        <v>134</v>
      </c>
      <c r="F23" s="1">
        <v>104</v>
      </c>
      <c r="G23" s="8">
        <f>F23*Emission_factor!$C$2</f>
        <v>277.46159999999998</v>
      </c>
    </row>
    <row r="24" spans="1:7" x14ac:dyDescent="0.25">
      <c r="A24" s="14">
        <v>23</v>
      </c>
      <c r="B24" s="8" t="s">
        <v>27</v>
      </c>
      <c r="C24" s="8" t="s">
        <v>121</v>
      </c>
      <c r="D24" s="8">
        <v>2024</v>
      </c>
      <c r="E24" s="8" t="s">
        <v>135</v>
      </c>
      <c r="F24" s="1">
        <v>0</v>
      </c>
      <c r="G24" s="8">
        <f>F24*Emission_factor!$C$2</f>
        <v>0</v>
      </c>
    </row>
    <row r="25" spans="1:7" x14ac:dyDescent="0.25">
      <c r="A25" s="14">
        <v>24</v>
      </c>
      <c r="B25" s="8" t="s">
        <v>27</v>
      </c>
      <c r="C25" s="8" t="s">
        <v>121</v>
      </c>
      <c r="D25" s="8">
        <v>2024</v>
      </c>
      <c r="E25" s="8" t="s">
        <v>136</v>
      </c>
      <c r="F25" s="1">
        <v>48</v>
      </c>
      <c r="G25" s="8">
        <f>F25*Emission_factor!$C$2</f>
        <v>128.0592</v>
      </c>
    </row>
    <row r="26" spans="1:7" x14ac:dyDescent="0.25">
      <c r="A26" s="14">
        <v>25</v>
      </c>
      <c r="B26" s="8" t="s">
        <v>27</v>
      </c>
      <c r="C26" s="8" t="s">
        <v>122</v>
      </c>
      <c r="D26" s="8">
        <v>2023</v>
      </c>
      <c r="E26" s="8" t="s">
        <v>125</v>
      </c>
      <c r="F26" s="8">
        <v>0</v>
      </c>
      <c r="G26" s="8">
        <f>F26*Emission_factor!$C$2</f>
        <v>0</v>
      </c>
    </row>
    <row r="27" spans="1:7" x14ac:dyDescent="0.25">
      <c r="A27" s="14">
        <v>26</v>
      </c>
      <c r="B27" s="8" t="s">
        <v>27</v>
      </c>
      <c r="C27" s="8" t="s">
        <v>122</v>
      </c>
      <c r="D27" s="8">
        <v>2023</v>
      </c>
      <c r="E27" s="8" t="s">
        <v>137</v>
      </c>
      <c r="F27" s="8">
        <v>0</v>
      </c>
      <c r="G27" s="8">
        <f>F27*Emission_factor!$C$2</f>
        <v>0</v>
      </c>
    </row>
    <row r="28" spans="1:7" x14ac:dyDescent="0.25">
      <c r="A28" s="14">
        <v>27</v>
      </c>
      <c r="B28" s="8" t="s">
        <v>27</v>
      </c>
      <c r="C28" s="8" t="s">
        <v>122</v>
      </c>
      <c r="D28" s="8">
        <v>2023</v>
      </c>
      <c r="E28" s="8" t="s">
        <v>127</v>
      </c>
      <c r="F28" s="8">
        <v>0</v>
      </c>
      <c r="G28" s="8">
        <f>F28*Emission_factor!$C$2</f>
        <v>0</v>
      </c>
    </row>
    <row r="29" spans="1:7" x14ac:dyDescent="0.25">
      <c r="A29" s="14">
        <v>28</v>
      </c>
      <c r="B29" s="8" t="s">
        <v>27</v>
      </c>
      <c r="C29" s="8" t="s">
        <v>122</v>
      </c>
      <c r="D29" s="8">
        <v>2023</v>
      </c>
      <c r="E29" s="8" t="s">
        <v>128</v>
      </c>
      <c r="F29" s="8">
        <v>0</v>
      </c>
      <c r="G29" s="8">
        <f>F29*Emission_factor!$C$2</f>
        <v>0</v>
      </c>
    </row>
    <row r="30" spans="1:7" x14ac:dyDescent="0.25">
      <c r="A30" s="14">
        <v>29</v>
      </c>
      <c r="B30" s="8" t="s">
        <v>27</v>
      </c>
      <c r="C30" s="8" t="s">
        <v>122</v>
      </c>
      <c r="D30" s="8">
        <v>2023</v>
      </c>
      <c r="E30" s="8" t="s">
        <v>129</v>
      </c>
      <c r="F30" s="1">
        <v>192</v>
      </c>
      <c r="G30" s="8">
        <f>F30*Emission_factor!$C$2</f>
        <v>512.23680000000002</v>
      </c>
    </row>
    <row r="31" spans="1:7" x14ac:dyDescent="0.25">
      <c r="A31" s="14">
        <v>30</v>
      </c>
      <c r="B31" s="8" t="s">
        <v>27</v>
      </c>
      <c r="C31" s="8" t="s">
        <v>122</v>
      </c>
      <c r="D31" s="8">
        <v>2023</v>
      </c>
      <c r="E31" s="8" t="s">
        <v>130</v>
      </c>
      <c r="F31" s="1">
        <v>52</v>
      </c>
      <c r="G31" s="8">
        <f>F31*Emission_factor!$C$2</f>
        <v>138.73079999999999</v>
      </c>
    </row>
    <row r="32" spans="1:7" x14ac:dyDescent="0.25">
      <c r="A32" s="14">
        <v>31</v>
      </c>
      <c r="B32" s="8" t="s">
        <v>27</v>
      </c>
      <c r="C32" s="8" t="s">
        <v>122</v>
      </c>
      <c r="D32" s="8">
        <v>2023</v>
      </c>
      <c r="E32" s="8" t="s">
        <v>131</v>
      </c>
      <c r="F32" s="1">
        <v>52</v>
      </c>
      <c r="G32" s="8">
        <f>F32*Emission_factor!$C$2</f>
        <v>138.73079999999999</v>
      </c>
    </row>
    <row r="33" spans="1:7" x14ac:dyDescent="0.25">
      <c r="A33" s="14">
        <v>32</v>
      </c>
      <c r="B33" s="8" t="s">
        <v>27</v>
      </c>
      <c r="C33" s="8" t="s">
        <v>122</v>
      </c>
      <c r="D33" s="8">
        <v>2023</v>
      </c>
      <c r="E33" s="8" t="s">
        <v>132</v>
      </c>
      <c r="F33" s="1">
        <v>100</v>
      </c>
      <c r="G33" s="8">
        <f>F33*Emission_factor!$C$2</f>
        <v>266.79000000000002</v>
      </c>
    </row>
    <row r="34" spans="1:7" x14ac:dyDescent="0.25">
      <c r="A34" s="14">
        <v>33</v>
      </c>
      <c r="B34" s="8" t="s">
        <v>27</v>
      </c>
      <c r="C34" s="8" t="s">
        <v>122</v>
      </c>
      <c r="D34" s="8">
        <v>2023</v>
      </c>
      <c r="E34" s="8" t="s">
        <v>133</v>
      </c>
      <c r="F34" s="1">
        <v>100</v>
      </c>
      <c r="G34" s="8">
        <f>F34*Emission_factor!$C$2</f>
        <v>266.79000000000002</v>
      </c>
    </row>
    <row r="35" spans="1:7" x14ac:dyDescent="0.25">
      <c r="A35" s="14">
        <v>34</v>
      </c>
      <c r="B35" s="8" t="s">
        <v>27</v>
      </c>
      <c r="C35" s="8" t="s">
        <v>122</v>
      </c>
      <c r="D35" s="8">
        <v>2024</v>
      </c>
      <c r="E35" s="8" t="s">
        <v>134</v>
      </c>
      <c r="F35" s="1">
        <v>104</v>
      </c>
      <c r="G35" s="8">
        <f>F35*Emission_factor!$C$2</f>
        <v>277.46159999999998</v>
      </c>
    </row>
    <row r="36" spans="1:7" x14ac:dyDescent="0.25">
      <c r="A36" s="14">
        <v>35</v>
      </c>
      <c r="B36" s="8" t="s">
        <v>27</v>
      </c>
      <c r="C36" s="8" t="s">
        <v>122</v>
      </c>
      <c r="D36" s="8">
        <v>2024</v>
      </c>
      <c r="E36" s="8" t="s">
        <v>135</v>
      </c>
      <c r="F36" s="1">
        <v>0</v>
      </c>
      <c r="G36" s="8">
        <f>F36*Emission_factor!$C$2</f>
        <v>0</v>
      </c>
    </row>
    <row r="37" spans="1:7" x14ac:dyDescent="0.25">
      <c r="A37" s="14">
        <v>36</v>
      </c>
      <c r="B37" s="8" t="s">
        <v>27</v>
      </c>
      <c r="C37" s="8" t="s">
        <v>122</v>
      </c>
      <c r="D37" s="8">
        <v>2024</v>
      </c>
      <c r="E37" s="8" t="s">
        <v>136</v>
      </c>
      <c r="F37" s="1">
        <v>48</v>
      </c>
      <c r="G37" s="8">
        <f>F37*Emission_factor!$C$2</f>
        <v>128.0592</v>
      </c>
    </row>
    <row r="38" spans="1:7" x14ac:dyDescent="0.25">
      <c r="A38" s="15">
        <v>35</v>
      </c>
      <c r="B38" s="8" t="s">
        <v>27</v>
      </c>
      <c r="C38" s="8" t="s">
        <v>139</v>
      </c>
      <c r="D38" s="1"/>
      <c r="E38" s="1"/>
      <c r="F38" s="1">
        <f>SUM(F2:F37)</f>
        <v>1944</v>
      </c>
      <c r="G38" s="8">
        <f>F38*Emission_factor!$C$2</f>
        <v>5186.3976000000002</v>
      </c>
    </row>
    <row r="39" spans="1:7" ht="18" x14ac:dyDescent="0.35">
      <c r="F39" t="s">
        <v>145</v>
      </c>
      <c r="G39" t="s">
        <v>521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5"/>
  <sheetViews>
    <sheetView workbookViewId="0">
      <selection activeCell="I17" sqref="I17"/>
    </sheetView>
  </sheetViews>
  <sheetFormatPr defaultRowHeight="15" x14ac:dyDescent="0.25"/>
  <cols>
    <col min="2" max="2" width="14.140625" bestFit="1" customWidth="1"/>
    <col min="3" max="3" width="8.85546875" customWidth="1"/>
    <col min="6" max="6" width="11.7109375" bestFit="1" customWidth="1"/>
    <col min="7" max="7" width="15.140625" bestFit="1" customWidth="1"/>
    <col min="8" max="8" width="14.5703125" bestFit="1" customWidth="1"/>
  </cols>
  <sheetData>
    <row r="1" spans="1:8" x14ac:dyDescent="0.25">
      <c r="A1" s="7" t="s">
        <v>118</v>
      </c>
      <c r="B1" s="7" t="s">
        <v>0</v>
      </c>
      <c r="C1" s="7" t="s">
        <v>123</v>
      </c>
      <c r="D1" s="7" t="s">
        <v>124</v>
      </c>
      <c r="E1" s="7" t="s">
        <v>140</v>
      </c>
      <c r="F1" s="7" t="s">
        <v>141</v>
      </c>
      <c r="G1" s="7" t="s">
        <v>142</v>
      </c>
      <c r="H1" s="56" t="s">
        <v>522</v>
      </c>
    </row>
    <row r="2" spans="1:8" x14ac:dyDescent="0.25">
      <c r="A2" s="1">
        <v>1</v>
      </c>
      <c r="B2" s="1" t="s">
        <v>28</v>
      </c>
      <c r="C2" s="1">
        <v>2023</v>
      </c>
      <c r="D2" s="1" t="s">
        <v>125</v>
      </c>
      <c r="E2" s="1">
        <v>0</v>
      </c>
      <c r="F2" s="1">
        <v>4.2</v>
      </c>
      <c r="G2" s="1">
        <f>F2*E2</f>
        <v>0</v>
      </c>
      <c r="H2" s="1">
        <f>G2*Emission_factor!$C$3</f>
        <v>0</v>
      </c>
    </row>
    <row r="3" spans="1:8" x14ac:dyDescent="0.25">
      <c r="A3" s="1">
        <v>2</v>
      </c>
      <c r="B3" s="1" t="s">
        <v>28</v>
      </c>
      <c r="C3" s="1">
        <v>2023</v>
      </c>
      <c r="D3" s="1" t="s">
        <v>137</v>
      </c>
      <c r="E3" s="1">
        <v>6</v>
      </c>
      <c r="F3" s="1">
        <v>4.2</v>
      </c>
      <c r="G3" s="1">
        <f t="shared" ref="G3:G13" si="0">F3*E3</f>
        <v>25.200000000000003</v>
      </c>
      <c r="H3" s="1">
        <f>G3*Emission_factor!$C$3</f>
        <v>38.733912000000004</v>
      </c>
    </row>
    <row r="4" spans="1:8" x14ac:dyDescent="0.25">
      <c r="A4" s="1">
        <v>3</v>
      </c>
      <c r="B4" s="1" t="s">
        <v>28</v>
      </c>
      <c r="C4" s="1">
        <v>2023</v>
      </c>
      <c r="D4" s="1" t="s">
        <v>127</v>
      </c>
      <c r="E4" s="1">
        <v>0</v>
      </c>
      <c r="F4" s="1">
        <v>4.2</v>
      </c>
      <c r="G4" s="1">
        <f>F4*E4</f>
        <v>0</v>
      </c>
      <c r="H4" s="1">
        <f>G4*Emission_factor!$C$3</f>
        <v>0</v>
      </c>
    </row>
    <row r="5" spans="1:8" x14ac:dyDescent="0.25">
      <c r="A5" s="1">
        <v>4</v>
      </c>
      <c r="B5" s="1" t="s">
        <v>28</v>
      </c>
      <c r="C5" s="1">
        <v>2023</v>
      </c>
      <c r="D5" s="1" t="s">
        <v>128</v>
      </c>
      <c r="E5" s="1">
        <v>0</v>
      </c>
      <c r="F5" s="1">
        <v>4.2</v>
      </c>
      <c r="G5" s="1">
        <f t="shared" si="0"/>
        <v>0</v>
      </c>
      <c r="H5" s="1">
        <f>G5*Emission_factor!$C$3</f>
        <v>0</v>
      </c>
    </row>
    <row r="6" spans="1:8" x14ac:dyDescent="0.25">
      <c r="A6" s="1">
        <v>5</v>
      </c>
      <c r="B6" s="1" t="s">
        <v>28</v>
      </c>
      <c r="C6" s="1">
        <v>2023</v>
      </c>
      <c r="D6" s="1" t="s">
        <v>129</v>
      </c>
      <c r="E6" s="1">
        <v>0</v>
      </c>
      <c r="F6" s="1">
        <v>4.2</v>
      </c>
      <c r="G6" s="1">
        <f t="shared" si="0"/>
        <v>0</v>
      </c>
      <c r="H6" s="1">
        <f>G6*Emission_factor!$C$3</f>
        <v>0</v>
      </c>
    </row>
    <row r="7" spans="1:8" x14ac:dyDescent="0.25">
      <c r="A7" s="1">
        <v>6</v>
      </c>
      <c r="B7" s="1" t="s">
        <v>28</v>
      </c>
      <c r="C7" s="1">
        <v>2023</v>
      </c>
      <c r="D7" s="1" t="s">
        <v>130</v>
      </c>
      <c r="E7" s="1">
        <v>4</v>
      </c>
      <c r="F7" s="1">
        <v>4.2</v>
      </c>
      <c r="G7" s="1">
        <f t="shared" si="0"/>
        <v>16.8</v>
      </c>
      <c r="H7" s="1">
        <f>G7*Emission_factor!$C$3</f>
        <v>25.822607999999999</v>
      </c>
    </row>
    <row r="8" spans="1:8" x14ac:dyDescent="0.25">
      <c r="A8" s="1">
        <v>7</v>
      </c>
      <c r="B8" s="1" t="s">
        <v>28</v>
      </c>
      <c r="C8" s="1">
        <v>2023</v>
      </c>
      <c r="D8" s="1" t="s">
        <v>131</v>
      </c>
      <c r="E8" s="1">
        <v>5</v>
      </c>
      <c r="F8" s="1">
        <v>4.2</v>
      </c>
      <c r="G8" s="1">
        <f t="shared" si="0"/>
        <v>21</v>
      </c>
      <c r="H8" s="1">
        <f>G8*Emission_factor!$C$3</f>
        <v>32.278259999999996</v>
      </c>
    </row>
    <row r="9" spans="1:8" x14ac:dyDescent="0.25">
      <c r="A9" s="1">
        <v>8</v>
      </c>
      <c r="B9" s="1" t="s">
        <v>28</v>
      </c>
      <c r="C9" s="1">
        <v>2023</v>
      </c>
      <c r="D9" s="1" t="s">
        <v>132</v>
      </c>
      <c r="E9" s="1">
        <v>3</v>
      </c>
      <c r="F9" s="1">
        <v>4.2</v>
      </c>
      <c r="G9" s="1">
        <f t="shared" si="0"/>
        <v>12.600000000000001</v>
      </c>
      <c r="H9" s="1">
        <f>G9*Emission_factor!$C$3</f>
        <v>19.366956000000002</v>
      </c>
    </row>
    <row r="10" spans="1:8" x14ac:dyDescent="0.25">
      <c r="A10" s="1">
        <v>9</v>
      </c>
      <c r="B10" s="1" t="s">
        <v>28</v>
      </c>
      <c r="C10" s="1">
        <v>2023</v>
      </c>
      <c r="D10" s="1" t="s">
        <v>133</v>
      </c>
      <c r="E10" s="1">
        <v>3</v>
      </c>
      <c r="F10" s="1">
        <v>4.2</v>
      </c>
      <c r="G10" s="1">
        <f t="shared" si="0"/>
        <v>12.600000000000001</v>
      </c>
      <c r="H10" s="1">
        <f>G10*Emission_factor!$C$3</f>
        <v>19.366956000000002</v>
      </c>
    </row>
    <row r="11" spans="1:8" x14ac:dyDescent="0.25">
      <c r="A11" s="1">
        <v>10</v>
      </c>
      <c r="B11" s="1" t="s">
        <v>28</v>
      </c>
      <c r="C11" s="1">
        <v>2024</v>
      </c>
      <c r="D11" s="1" t="s">
        <v>134</v>
      </c>
      <c r="E11" s="1">
        <v>4</v>
      </c>
      <c r="F11" s="1">
        <v>4.2</v>
      </c>
      <c r="G11" s="1">
        <f t="shared" si="0"/>
        <v>16.8</v>
      </c>
      <c r="H11" s="1">
        <f>G11*Emission_factor!$C$3</f>
        <v>25.822607999999999</v>
      </c>
    </row>
    <row r="12" spans="1:8" x14ac:dyDescent="0.25">
      <c r="A12" s="1">
        <v>11</v>
      </c>
      <c r="B12" s="1" t="s">
        <v>28</v>
      </c>
      <c r="C12" s="1">
        <v>2024</v>
      </c>
      <c r="D12" s="1" t="s">
        <v>135</v>
      </c>
      <c r="E12" s="1">
        <v>3</v>
      </c>
      <c r="F12" s="1">
        <v>4.2</v>
      </c>
      <c r="G12" s="1">
        <f t="shared" si="0"/>
        <v>12.600000000000001</v>
      </c>
      <c r="H12" s="1">
        <f>G12*Emission_factor!$C$3</f>
        <v>19.366956000000002</v>
      </c>
    </row>
    <row r="13" spans="1:8" x14ac:dyDescent="0.25">
      <c r="A13" s="1">
        <v>12</v>
      </c>
      <c r="B13" s="1" t="s">
        <v>28</v>
      </c>
      <c r="C13" s="1">
        <v>2024</v>
      </c>
      <c r="D13" s="1" t="s">
        <v>136</v>
      </c>
      <c r="E13" s="1">
        <v>1</v>
      </c>
      <c r="F13" s="1">
        <v>4.2</v>
      </c>
      <c r="G13" s="1">
        <f t="shared" si="0"/>
        <v>4.2</v>
      </c>
      <c r="H13" s="1">
        <f>G13*Emission_factor!$C$3</f>
        <v>6.4556519999999997</v>
      </c>
    </row>
    <row r="14" spans="1:8" x14ac:dyDescent="0.25">
      <c r="A14" s="1"/>
      <c r="B14" s="1"/>
      <c r="C14" s="1"/>
      <c r="D14" s="1"/>
      <c r="E14" s="1">
        <f>SUM(E2:E13)</f>
        <v>29</v>
      </c>
      <c r="F14" s="1"/>
      <c r="G14" s="1">
        <f t="shared" ref="G14" si="1">SUM(G2:G13)</f>
        <v>121.8</v>
      </c>
      <c r="H14" s="1">
        <f>G14*Emission_factor!$C$3</f>
        <v>187.21390799999998</v>
      </c>
    </row>
    <row r="15" spans="1:8" ht="18" x14ac:dyDescent="0.35">
      <c r="G15" t="s">
        <v>144</v>
      </c>
      <c r="H15" t="s">
        <v>521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
  <sheetViews>
    <sheetView workbookViewId="0">
      <selection activeCell="D2" sqref="D2"/>
    </sheetView>
  </sheetViews>
  <sheetFormatPr defaultRowHeight="15" x14ac:dyDescent="0.25"/>
  <cols>
    <col min="2" max="2" width="13.140625" bestFit="1" customWidth="1"/>
    <col min="3" max="3" width="13.28515625" bestFit="1" customWidth="1"/>
    <col min="4" max="4" width="14.5703125" bestFit="1" customWidth="1"/>
  </cols>
  <sheetData>
    <row r="1" spans="1:4" x14ac:dyDescent="0.25">
      <c r="A1" s="7" t="s">
        <v>118</v>
      </c>
      <c r="B1" s="7" t="s">
        <v>0</v>
      </c>
      <c r="C1" s="7" t="s">
        <v>143</v>
      </c>
      <c r="D1" s="56" t="s">
        <v>522</v>
      </c>
    </row>
    <row r="2" spans="1:4" x14ac:dyDescent="0.25">
      <c r="A2" s="1">
        <v>1</v>
      </c>
      <c r="B2" s="1" t="s">
        <v>7</v>
      </c>
      <c r="C2" s="1">
        <v>435</v>
      </c>
      <c r="D2" s="1">
        <f>C2*Emission_factor!$C$4</f>
        <v>190.965</v>
      </c>
    </row>
    <row r="3" spans="1:4" ht="18" x14ac:dyDescent="0.35">
      <c r="C3" t="s">
        <v>144</v>
      </c>
      <c r="D3" t="s">
        <v>521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3"/>
  <sheetViews>
    <sheetView tabSelected="1" topLeftCell="A31" workbookViewId="0">
      <selection activeCell="H52" sqref="H52"/>
    </sheetView>
  </sheetViews>
  <sheetFormatPr defaultRowHeight="15" x14ac:dyDescent="0.25"/>
  <cols>
    <col min="2" max="2" width="15.28515625" bestFit="1" customWidth="1"/>
    <col min="4" max="4" width="23.42578125" bestFit="1" customWidth="1"/>
    <col min="8" max="8" width="15.42578125" bestFit="1" customWidth="1"/>
  </cols>
  <sheetData>
    <row r="1" spans="1:8" x14ac:dyDescent="0.25">
      <c r="A1" s="1" t="s">
        <v>159</v>
      </c>
      <c r="B1" s="1" t="s">
        <v>0</v>
      </c>
      <c r="C1" s="1" t="s">
        <v>160</v>
      </c>
      <c r="D1" s="1" t="s">
        <v>161</v>
      </c>
      <c r="E1" s="1" t="s">
        <v>162</v>
      </c>
      <c r="F1" s="1" t="s">
        <v>163</v>
      </c>
      <c r="G1" s="1" t="s">
        <v>164</v>
      </c>
      <c r="H1" s="4" t="s">
        <v>524</v>
      </c>
    </row>
    <row r="2" spans="1:8" x14ac:dyDescent="0.25">
      <c r="A2" s="1">
        <v>1</v>
      </c>
      <c r="B2" s="1" t="s">
        <v>29</v>
      </c>
      <c r="C2" s="1" t="s">
        <v>165</v>
      </c>
      <c r="D2" s="1" t="s">
        <v>215</v>
      </c>
      <c r="E2" s="1">
        <v>1208</v>
      </c>
      <c r="F2" s="1">
        <v>35.5</v>
      </c>
      <c r="G2" s="1">
        <f>E2*F2</f>
        <v>42884</v>
      </c>
      <c r="H2" s="1">
        <f>G2*Emission_factor!$C$7</f>
        <v>114410.2236</v>
      </c>
    </row>
    <row r="3" spans="1:8" x14ac:dyDescent="0.25">
      <c r="A3" s="1">
        <v>2</v>
      </c>
      <c r="B3" s="1" t="s">
        <v>29</v>
      </c>
      <c r="C3" s="1" t="s">
        <v>166</v>
      </c>
      <c r="D3" s="1" t="s">
        <v>215</v>
      </c>
      <c r="E3" s="1">
        <v>3040</v>
      </c>
      <c r="F3" s="1">
        <v>36</v>
      </c>
      <c r="G3" s="1">
        <f t="shared" ref="G3:G51" si="0">E3*F3</f>
        <v>109440</v>
      </c>
      <c r="H3" s="1">
        <f>G3*Emission_factor!$C$7</f>
        <v>291974.97599999997</v>
      </c>
    </row>
    <row r="4" spans="1:8" x14ac:dyDescent="0.25">
      <c r="A4" s="1">
        <v>3</v>
      </c>
      <c r="B4" s="1" t="s">
        <v>29</v>
      </c>
      <c r="C4" s="1" t="s">
        <v>167</v>
      </c>
      <c r="D4" s="1" t="s">
        <v>216</v>
      </c>
      <c r="E4" s="1">
        <v>947</v>
      </c>
      <c r="F4" s="1">
        <v>33</v>
      </c>
      <c r="G4" s="1">
        <f t="shared" si="0"/>
        <v>31251</v>
      </c>
      <c r="H4" s="1">
        <f>G4*Emission_factor!$C$7</f>
        <v>83374.5429</v>
      </c>
    </row>
    <row r="5" spans="1:8" x14ac:dyDescent="0.25">
      <c r="A5" s="1">
        <v>4</v>
      </c>
      <c r="B5" s="1" t="s">
        <v>29</v>
      </c>
      <c r="C5" s="1" t="s">
        <v>168</v>
      </c>
      <c r="D5" s="1" t="s">
        <v>215</v>
      </c>
      <c r="E5" s="1">
        <v>3187</v>
      </c>
      <c r="F5" s="1">
        <v>35</v>
      </c>
      <c r="G5" s="1">
        <f t="shared" si="0"/>
        <v>111545</v>
      </c>
      <c r="H5" s="1">
        <f>G5*Emission_factor!$C$7</f>
        <v>297590.90549999999</v>
      </c>
    </row>
    <row r="6" spans="1:8" x14ac:dyDescent="0.25">
      <c r="A6" s="1">
        <v>5</v>
      </c>
      <c r="B6" s="1" t="s">
        <v>29</v>
      </c>
      <c r="C6" s="1" t="s">
        <v>169</v>
      </c>
      <c r="D6" s="1" t="s">
        <v>216</v>
      </c>
      <c r="E6" s="1">
        <v>267</v>
      </c>
      <c r="F6" s="1">
        <v>34</v>
      </c>
      <c r="G6" s="1">
        <f t="shared" si="0"/>
        <v>9078</v>
      </c>
      <c r="H6" s="1">
        <f>G6*Emission_factor!$C$7</f>
        <v>24219.196199999998</v>
      </c>
    </row>
    <row r="7" spans="1:8" x14ac:dyDescent="0.25">
      <c r="A7" s="1">
        <v>6</v>
      </c>
      <c r="B7" s="1" t="s">
        <v>29</v>
      </c>
      <c r="C7" s="1" t="s">
        <v>170</v>
      </c>
      <c r="D7" s="1" t="s">
        <v>217</v>
      </c>
      <c r="E7" s="1">
        <v>1835</v>
      </c>
      <c r="F7" s="1">
        <v>15</v>
      </c>
      <c r="G7" s="1">
        <f t="shared" si="0"/>
        <v>27525</v>
      </c>
      <c r="H7" s="1">
        <f>G7*Emission_factor!$C$7</f>
        <v>73433.947499999995</v>
      </c>
    </row>
    <row r="8" spans="1:8" x14ac:dyDescent="0.25">
      <c r="A8" s="1">
        <v>7</v>
      </c>
      <c r="B8" s="1" t="s">
        <v>29</v>
      </c>
      <c r="C8" s="1" t="s">
        <v>171</v>
      </c>
      <c r="D8" s="1" t="s">
        <v>218</v>
      </c>
      <c r="E8" s="1">
        <v>1462</v>
      </c>
      <c r="F8" s="1">
        <v>23.7</v>
      </c>
      <c r="G8" s="1">
        <f t="shared" si="0"/>
        <v>34649.4</v>
      </c>
      <c r="H8" s="1">
        <f>G8*Emission_factor!$C$7</f>
        <v>92441.134260000006</v>
      </c>
    </row>
    <row r="9" spans="1:8" x14ac:dyDescent="0.25">
      <c r="A9" s="1">
        <v>8</v>
      </c>
      <c r="B9" s="1" t="s">
        <v>29</v>
      </c>
      <c r="C9" s="1" t="s">
        <v>172</v>
      </c>
      <c r="D9" s="1" t="s">
        <v>219</v>
      </c>
      <c r="E9" s="1">
        <v>2583</v>
      </c>
      <c r="F9" s="1">
        <v>26</v>
      </c>
      <c r="G9" s="1">
        <f t="shared" si="0"/>
        <v>67158</v>
      </c>
      <c r="H9" s="1">
        <f>G9*Emission_factor!$C$7</f>
        <v>179170.82819999999</v>
      </c>
    </row>
    <row r="10" spans="1:8" x14ac:dyDescent="0.25">
      <c r="A10" s="1">
        <v>9</v>
      </c>
      <c r="B10" s="1" t="s">
        <v>29</v>
      </c>
      <c r="C10" s="1" t="s">
        <v>173</v>
      </c>
      <c r="D10" s="1" t="s">
        <v>219</v>
      </c>
      <c r="E10" s="1">
        <v>1734</v>
      </c>
      <c r="F10" s="1">
        <v>27</v>
      </c>
      <c r="G10" s="1">
        <f t="shared" si="0"/>
        <v>46818</v>
      </c>
      <c r="H10" s="1">
        <f>G10*Emission_factor!$C$7</f>
        <v>124905.74219999999</v>
      </c>
    </row>
    <row r="11" spans="1:8" x14ac:dyDescent="0.25">
      <c r="A11" s="1">
        <v>10</v>
      </c>
      <c r="B11" s="1" t="s">
        <v>29</v>
      </c>
      <c r="C11" s="1" t="s">
        <v>174</v>
      </c>
      <c r="D11" s="1" t="s">
        <v>220</v>
      </c>
      <c r="E11" s="1">
        <v>2495</v>
      </c>
      <c r="F11" s="1">
        <v>15</v>
      </c>
      <c r="G11" s="1">
        <f t="shared" si="0"/>
        <v>37425</v>
      </c>
      <c r="H11" s="1">
        <f>G11*Emission_factor!$C$7</f>
        <v>99846.157500000001</v>
      </c>
    </row>
    <row r="12" spans="1:8" x14ac:dyDescent="0.25">
      <c r="A12" s="1">
        <v>11</v>
      </c>
      <c r="B12" s="1" t="s">
        <v>29</v>
      </c>
      <c r="C12" s="1" t="s">
        <v>175</v>
      </c>
      <c r="D12" s="1" t="s">
        <v>221</v>
      </c>
      <c r="E12" s="1">
        <v>929</v>
      </c>
      <c r="F12" s="1">
        <v>15</v>
      </c>
      <c r="G12" s="1">
        <f t="shared" si="0"/>
        <v>13935</v>
      </c>
      <c r="H12" s="1">
        <f>G12*Emission_factor!$C$7</f>
        <v>37177.186499999996</v>
      </c>
    </row>
    <row r="13" spans="1:8" x14ac:dyDescent="0.25">
      <c r="A13" s="1">
        <v>12</v>
      </c>
      <c r="B13" s="1" t="s">
        <v>29</v>
      </c>
      <c r="C13" s="1" t="s">
        <v>176</v>
      </c>
      <c r="D13" s="1" t="s">
        <v>221</v>
      </c>
      <c r="E13" s="1">
        <v>426</v>
      </c>
      <c r="F13" s="1">
        <v>14.5</v>
      </c>
      <c r="G13" s="1">
        <f t="shared" si="0"/>
        <v>6177</v>
      </c>
      <c r="H13" s="1">
        <f>G13*Emission_factor!$C$7</f>
        <v>16479.618299999998</v>
      </c>
    </row>
    <row r="14" spans="1:8" x14ac:dyDescent="0.25">
      <c r="A14" s="1">
        <v>13</v>
      </c>
      <c r="B14" s="1" t="s">
        <v>29</v>
      </c>
      <c r="C14" s="1" t="s">
        <v>177</v>
      </c>
      <c r="D14" s="1" t="s">
        <v>221</v>
      </c>
      <c r="E14" s="1">
        <v>932</v>
      </c>
      <c r="F14" s="1">
        <v>15</v>
      </c>
      <c r="G14" s="1">
        <f t="shared" si="0"/>
        <v>13980</v>
      </c>
      <c r="H14" s="1">
        <f>G14*Emission_factor!$C$7</f>
        <v>37297.241999999998</v>
      </c>
    </row>
    <row r="15" spans="1:8" x14ac:dyDescent="0.25">
      <c r="A15" s="1">
        <v>14</v>
      </c>
      <c r="B15" s="1" t="s">
        <v>29</v>
      </c>
      <c r="C15" s="1" t="s">
        <v>178</v>
      </c>
      <c r="D15" s="1" t="s">
        <v>221</v>
      </c>
      <c r="E15" s="1">
        <v>699</v>
      </c>
      <c r="F15" s="1">
        <v>15</v>
      </c>
      <c r="G15" s="1">
        <f t="shared" si="0"/>
        <v>10485</v>
      </c>
      <c r="H15" s="1">
        <f>G15*Emission_factor!$C$7</f>
        <v>27972.931499999999</v>
      </c>
    </row>
    <row r="16" spans="1:8" x14ac:dyDescent="0.25">
      <c r="A16" s="1">
        <v>15</v>
      </c>
      <c r="B16" s="1" t="s">
        <v>29</v>
      </c>
      <c r="C16" s="1" t="s">
        <v>179</v>
      </c>
      <c r="D16" s="1" t="s">
        <v>221</v>
      </c>
      <c r="E16" s="1">
        <v>863</v>
      </c>
      <c r="F16" s="1">
        <v>15</v>
      </c>
      <c r="G16" s="1">
        <f t="shared" si="0"/>
        <v>12945</v>
      </c>
      <c r="H16" s="1">
        <f>G16*Emission_factor!$C$7</f>
        <v>34535.965499999998</v>
      </c>
    </row>
    <row r="17" spans="1:8" x14ac:dyDescent="0.25">
      <c r="A17" s="1">
        <v>16</v>
      </c>
      <c r="B17" s="1" t="s">
        <v>29</v>
      </c>
      <c r="C17" s="1" t="s">
        <v>180</v>
      </c>
      <c r="D17" s="1" t="s">
        <v>221</v>
      </c>
      <c r="E17" s="1">
        <v>915</v>
      </c>
      <c r="F17" s="1">
        <v>15</v>
      </c>
      <c r="G17" s="1">
        <f t="shared" si="0"/>
        <v>13725</v>
      </c>
      <c r="H17" s="1">
        <f>G17*Emission_factor!$C$7</f>
        <v>36616.927499999998</v>
      </c>
    </row>
    <row r="18" spans="1:8" x14ac:dyDescent="0.25">
      <c r="A18" s="1">
        <v>17</v>
      </c>
      <c r="B18" s="1" t="s">
        <v>29</v>
      </c>
      <c r="C18" s="1" t="s">
        <v>181</v>
      </c>
      <c r="D18" s="1" t="s">
        <v>221</v>
      </c>
      <c r="E18" s="1">
        <v>964</v>
      </c>
      <c r="F18" s="1">
        <v>15</v>
      </c>
      <c r="G18" s="1">
        <f t="shared" si="0"/>
        <v>14460</v>
      </c>
      <c r="H18" s="1">
        <f>G18*Emission_factor!$C$7</f>
        <v>38577.834000000003</v>
      </c>
    </row>
    <row r="19" spans="1:8" x14ac:dyDescent="0.25">
      <c r="A19" s="1">
        <v>18</v>
      </c>
      <c r="B19" s="1" t="s">
        <v>29</v>
      </c>
      <c r="C19" s="1" t="s">
        <v>182</v>
      </c>
      <c r="D19" s="1" t="s">
        <v>221</v>
      </c>
      <c r="E19" s="1">
        <v>540</v>
      </c>
      <c r="F19" s="1">
        <v>14.8</v>
      </c>
      <c r="G19" s="1">
        <f t="shared" si="0"/>
        <v>7992</v>
      </c>
      <c r="H19" s="1">
        <f>G19*Emission_factor!$C$7</f>
        <v>21321.856799999998</v>
      </c>
    </row>
    <row r="20" spans="1:8" x14ac:dyDescent="0.25">
      <c r="A20" s="1">
        <v>19</v>
      </c>
      <c r="B20" s="1" t="s">
        <v>29</v>
      </c>
      <c r="C20" s="1" t="s">
        <v>183</v>
      </c>
      <c r="D20" s="1" t="s">
        <v>221</v>
      </c>
      <c r="E20" s="1">
        <v>931</v>
      </c>
      <c r="F20" s="1">
        <v>15</v>
      </c>
      <c r="G20" s="1">
        <f t="shared" si="0"/>
        <v>13965</v>
      </c>
      <c r="H20" s="1">
        <f>G20*Emission_factor!$C$7</f>
        <v>37257.2235</v>
      </c>
    </row>
    <row r="21" spans="1:8" x14ac:dyDescent="0.25">
      <c r="A21" s="1">
        <v>20</v>
      </c>
      <c r="B21" s="1" t="s">
        <v>29</v>
      </c>
      <c r="C21" s="1" t="s">
        <v>184</v>
      </c>
      <c r="D21" s="1" t="s">
        <v>222</v>
      </c>
      <c r="E21" s="1">
        <v>1998</v>
      </c>
      <c r="F21" s="1">
        <v>12</v>
      </c>
      <c r="G21" s="1">
        <f t="shared" si="0"/>
        <v>23976</v>
      </c>
      <c r="H21" s="1">
        <f>G21*Emission_factor!$C$7</f>
        <v>63965.570399999997</v>
      </c>
    </row>
    <row r="22" spans="1:8" x14ac:dyDescent="0.25">
      <c r="A22" s="1">
        <v>21</v>
      </c>
      <c r="B22" s="1" t="s">
        <v>29</v>
      </c>
      <c r="C22" s="1" t="s">
        <v>185</v>
      </c>
      <c r="D22" s="1" t="s">
        <v>222</v>
      </c>
      <c r="E22" s="1">
        <v>1814</v>
      </c>
      <c r="F22" s="1">
        <v>11.7</v>
      </c>
      <c r="G22" s="1">
        <f t="shared" si="0"/>
        <v>21223.8</v>
      </c>
      <c r="H22" s="1">
        <f>G22*Emission_factor!$C$7</f>
        <v>56622.976019999995</v>
      </c>
    </row>
    <row r="23" spans="1:8" x14ac:dyDescent="0.25">
      <c r="A23" s="1">
        <v>22</v>
      </c>
      <c r="B23" s="1" t="s">
        <v>29</v>
      </c>
      <c r="C23" s="1" t="s">
        <v>186</v>
      </c>
      <c r="D23" s="1" t="s">
        <v>222</v>
      </c>
      <c r="E23" s="1">
        <v>2262</v>
      </c>
      <c r="F23" s="1">
        <v>12</v>
      </c>
      <c r="G23" s="1">
        <f t="shared" si="0"/>
        <v>27144</v>
      </c>
      <c r="H23" s="1">
        <f>G23*Emission_factor!$C$7</f>
        <v>72417.477599999998</v>
      </c>
    </row>
    <row r="24" spans="1:8" x14ac:dyDescent="0.25">
      <c r="A24" s="1">
        <v>23</v>
      </c>
      <c r="B24" s="1" t="s">
        <v>29</v>
      </c>
      <c r="C24" s="1" t="s">
        <v>187</v>
      </c>
      <c r="D24" s="1" t="s">
        <v>222</v>
      </c>
      <c r="E24" s="1">
        <v>2139</v>
      </c>
      <c r="F24" s="1">
        <v>12</v>
      </c>
      <c r="G24" s="1">
        <f t="shared" si="0"/>
        <v>25668</v>
      </c>
      <c r="H24" s="1">
        <f>G24*Emission_factor!$C$7</f>
        <v>68479.657200000001</v>
      </c>
    </row>
    <row r="25" spans="1:8" x14ac:dyDescent="0.25">
      <c r="A25" s="1">
        <v>24</v>
      </c>
      <c r="B25" s="1" t="s">
        <v>29</v>
      </c>
      <c r="C25" s="1" t="s">
        <v>188</v>
      </c>
      <c r="D25" s="1" t="s">
        <v>222</v>
      </c>
      <c r="E25" s="1">
        <v>1667</v>
      </c>
      <c r="F25" s="1">
        <v>11.8</v>
      </c>
      <c r="G25" s="1">
        <f t="shared" si="0"/>
        <v>19670.600000000002</v>
      </c>
      <c r="H25" s="1">
        <f>G25*Emission_factor!$C$7</f>
        <v>52479.193740000002</v>
      </c>
    </row>
    <row r="26" spans="1:8" x14ac:dyDescent="0.25">
      <c r="A26" s="1">
        <v>25</v>
      </c>
      <c r="B26" s="1" t="s">
        <v>29</v>
      </c>
      <c r="C26" s="1" t="s">
        <v>189</v>
      </c>
      <c r="D26" s="1" t="s">
        <v>222</v>
      </c>
      <c r="E26" s="1">
        <v>1771</v>
      </c>
      <c r="F26" s="1">
        <v>12</v>
      </c>
      <c r="G26" s="1">
        <f t="shared" si="0"/>
        <v>21252</v>
      </c>
      <c r="H26" s="1">
        <f>G26*Emission_factor!$C$7</f>
        <v>56698.210800000001</v>
      </c>
    </row>
    <row r="27" spans="1:8" x14ac:dyDescent="0.25">
      <c r="A27" s="1">
        <v>26</v>
      </c>
      <c r="B27" s="1" t="s">
        <v>29</v>
      </c>
      <c r="C27" s="1" t="s">
        <v>190</v>
      </c>
      <c r="D27" s="1" t="s">
        <v>222</v>
      </c>
      <c r="E27" s="1">
        <v>1916</v>
      </c>
      <c r="F27" s="1">
        <v>12</v>
      </c>
      <c r="G27" s="1">
        <f t="shared" si="0"/>
        <v>22992</v>
      </c>
      <c r="H27" s="1">
        <f>G27*Emission_factor!$C$7</f>
        <v>61340.356800000001</v>
      </c>
    </row>
    <row r="28" spans="1:8" x14ac:dyDescent="0.25">
      <c r="A28" s="1">
        <v>27</v>
      </c>
      <c r="B28" s="1" t="s">
        <v>29</v>
      </c>
      <c r="C28" s="1" t="s">
        <v>191</v>
      </c>
      <c r="D28" s="1" t="s">
        <v>222</v>
      </c>
      <c r="E28" s="1">
        <v>1920</v>
      </c>
      <c r="F28" s="1">
        <v>11.9</v>
      </c>
      <c r="G28" s="1">
        <f t="shared" si="0"/>
        <v>22848</v>
      </c>
      <c r="H28" s="1">
        <f>G28*Emission_factor!$C$7</f>
        <v>60956.179199999999</v>
      </c>
    </row>
    <row r="29" spans="1:8" x14ac:dyDescent="0.25">
      <c r="A29" s="1">
        <v>28</v>
      </c>
      <c r="B29" s="1" t="s">
        <v>29</v>
      </c>
      <c r="C29" s="1" t="s">
        <v>192</v>
      </c>
      <c r="D29" s="1" t="s">
        <v>222</v>
      </c>
      <c r="E29" s="1">
        <v>1755</v>
      </c>
      <c r="F29" s="1">
        <v>12</v>
      </c>
      <c r="G29" s="1">
        <f t="shared" si="0"/>
        <v>21060</v>
      </c>
      <c r="H29" s="1">
        <f>G29*Emission_factor!$C$7</f>
        <v>56185.974000000002</v>
      </c>
    </row>
    <row r="30" spans="1:8" x14ac:dyDescent="0.25">
      <c r="A30" s="1">
        <v>29</v>
      </c>
      <c r="B30" s="1" t="s">
        <v>29</v>
      </c>
      <c r="C30" s="1" t="s">
        <v>193</v>
      </c>
      <c r="D30" s="1" t="s">
        <v>222</v>
      </c>
      <c r="E30" s="1">
        <v>2035</v>
      </c>
      <c r="F30" s="1">
        <v>11.9</v>
      </c>
      <c r="G30" s="1">
        <f t="shared" si="0"/>
        <v>24216.5</v>
      </c>
      <c r="H30" s="1">
        <f>G30*Emission_factor!$C$7</f>
        <v>64607.200349999999</v>
      </c>
    </row>
    <row r="31" spans="1:8" x14ac:dyDescent="0.25">
      <c r="A31" s="1">
        <v>30</v>
      </c>
      <c r="B31" s="1" t="s">
        <v>29</v>
      </c>
      <c r="C31" s="1" t="s">
        <v>194</v>
      </c>
      <c r="D31" s="1" t="s">
        <v>222</v>
      </c>
      <c r="E31" s="1">
        <v>1793</v>
      </c>
      <c r="F31" s="1">
        <v>12</v>
      </c>
      <c r="G31" s="1">
        <f t="shared" si="0"/>
        <v>21516</v>
      </c>
      <c r="H31" s="1">
        <f>G31*Emission_factor!$C$7</f>
        <v>57402.536399999997</v>
      </c>
    </row>
    <row r="32" spans="1:8" x14ac:dyDescent="0.25">
      <c r="A32" s="1">
        <v>31</v>
      </c>
      <c r="B32" s="1" t="s">
        <v>29</v>
      </c>
      <c r="C32" s="1" t="s">
        <v>195</v>
      </c>
      <c r="D32" s="1" t="s">
        <v>222</v>
      </c>
      <c r="E32" s="1">
        <v>1668</v>
      </c>
      <c r="F32" s="1">
        <v>11.9</v>
      </c>
      <c r="G32" s="1">
        <f t="shared" si="0"/>
        <v>19849.2</v>
      </c>
      <c r="H32" s="1">
        <f>G32*Emission_factor!$C$7</f>
        <v>52955.680679999998</v>
      </c>
    </row>
    <row r="33" spans="1:8" x14ac:dyDescent="0.25">
      <c r="A33" s="1">
        <v>32</v>
      </c>
      <c r="B33" s="1" t="s">
        <v>29</v>
      </c>
      <c r="C33" s="1" t="s">
        <v>196</v>
      </c>
      <c r="D33" s="1" t="s">
        <v>222</v>
      </c>
      <c r="E33" s="1">
        <v>2181</v>
      </c>
      <c r="F33" s="1">
        <v>12</v>
      </c>
      <c r="G33" s="1">
        <f t="shared" si="0"/>
        <v>26172</v>
      </c>
      <c r="H33" s="1">
        <f>G33*Emission_factor!$C$7</f>
        <v>69824.2788</v>
      </c>
    </row>
    <row r="34" spans="1:8" x14ac:dyDescent="0.25">
      <c r="A34" s="1">
        <v>33</v>
      </c>
      <c r="B34" s="1" t="s">
        <v>29</v>
      </c>
      <c r="C34" s="1" t="s">
        <v>197</v>
      </c>
      <c r="D34" s="1" t="s">
        <v>222</v>
      </c>
      <c r="E34" s="1">
        <v>1893</v>
      </c>
      <c r="F34" s="1">
        <v>12</v>
      </c>
      <c r="G34" s="1">
        <f t="shared" si="0"/>
        <v>22716</v>
      </c>
      <c r="H34" s="1">
        <f>G34*Emission_factor!$C$7</f>
        <v>60604.0164</v>
      </c>
    </row>
    <row r="35" spans="1:8" x14ac:dyDescent="0.25">
      <c r="A35" s="1">
        <v>34</v>
      </c>
      <c r="B35" s="1" t="s">
        <v>29</v>
      </c>
      <c r="C35" s="1" t="s">
        <v>198</v>
      </c>
      <c r="D35" s="1" t="s">
        <v>223</v>
      </c>
      <c r="E35" s="1">
        <v>1853</v>
      </c>
      <c r="F35" s="1">
        <v>13.5</v>
      </c>
      <c r="G35" s="1">
        <f t="shared" si="0"/>
        <v>25015.5</v>
      </c>
      <c r="H35" s="1">
        <f>G35*Emission_factor!$C$7</f>
        <v>66738.852449999991</v>
      </c>
    </row>
    <row r="36" spans="1:8" x14ac:dyDescent="0.25">
      <c r="A36" s="1">
        <v>35</v>
      </c>
      <c r="B36" s="1" t="s">
        <v>29</v>
      </c>
      <c r="C36" s="1" t="s">
        <v>199</v>
      </c>
      <c r="D36" s="1" t="s">
        <v>223</v>
      </c>
      <c r="E36" s="1">
        <v>1972</v>
      </c>
      <c r="F36" s="1">
        <v>13.8</v>
      </c>
      <c r="G36" s="1">
        <f t="shared" si="0"/>
        <v>27213.600000000002</v>
      </c>
      <c r="H36" s="1">
        <f>G36*Emission_factor!$C$7</f>
        <v>72603.163440000004</v>
      </c>
    </row>
    <row r="37" spans="1:8" x14ac:dyDescent="0.25">
      <c r="A37" s="1">
        <v>36</v>
      </c>
      <c r="B37" s="1" t="s">
        <v>29</v>
      </c>
      <c r="C37" s="1" t="s">
        <v>200</v>
      </c>
      <c r="D37" s="1" t="s">
        <v>223</v>
      </c>
      <c r="E37" s="1">
        <v>2169</v>
      </c>
      <c r="F37" s="1">
        <v>13.5</v>
      </c>
      <c r="G37" s="1">
        <f t="shared" si="0"/>
        <v>29281.5</v>
      </c>
      <c r="H37" s="1">
        <f>G37*Emission_factor!$C$7</f>
        <v>78120.113849999994</v>
      </c>
    </row>
    <row r="38" spans="1:8" x14ac:dyDescent="0.25">
      <c r="A38" s="1">
        <v>37</v>
      </c>
      <c r="B38" s="1" t="s">
        <v>29</v>
      </c>
      <c r="C38" s="1" t="s">
        <v>201</v>
      </c>
      <c r="D38" s="1" t="s">
        <v>223</v>
      </c>
      <c r="E38" s="1">
        <v>1632</v>
      </c>
      <c r="F38" s="1">
        <v>13.7</v>
      </c>
      <c r="G38" s="1">
        <f t="shared" si="0"/>
        <v>22358.399999999998</v>
      </c>
      <c r="H38" s="1">
        <f>G38*Emission_factor!$C$7</f>
        <v>59649.975359999989</v>
      </c>
    </row>
    <row r="39" spans="1:8" x14ac:dyDescent="0.25">
      <c r="A39" s="1">
        <v>38</v>
      </c>
      <c r="B39" s="1" t="s">
        <v>29</v>
      </c>
      <c r="C39" s="1" t="s">
        <v>202</v>
      </c>
      <c r="D39" s="1" t="s">
        <v>223</v>
      </c>
      <c r="E39" s="1">
        <v>2335</v>
      </c>
      <c r="F39" s="1">
        <v>14</v>
      </c>
      <c r="G39" s="1">
        <f t="shared" si="0"/>
        <v>32690</v>
      </c>
      <c r="H39" s="1">
        <f>G39*Emission_factor!$C$7</f>
        <v>87213.650999999998</v>
      </c>
    </row>
    <row r="40" spans="1:8" x14ac:dyDescent="0.25">
      <c r="A40" s="1">
        <v>39</v>
      </c>
      <c r="B40" s="1" t="s">
        <v>29</v>
      </c>
      <c r="C40" s="1" t="s">
        <v>203</v>
      </c>
      <c r="D40" s="1" t="s">
        <v>223</v>
      </c>
      <c r="E40" s="1">
        <v>2445</v>
      </c>
      <c r="F40" s="1">
        <v>14</v>
      </c>
      <c r="G40" s="1">
        <f t="shared" si="0"/>
        <v>34230</v>
      </c>
      <c r="H40" s="1">
        <f>G40*Emission_factor!$C$7</f>
        <v>91322.217000000004</v>
      </c>
    </row>
    <row r="41" spans="1:8" x14ac:dyDescent="0.25">
      <c r="A41" s="1">
        <v>40</v>
      </c>
      <c r="B41" s="1" t="s">
        <v>29</v>
      </c>
      <c r="C41" s="1" t="s">
        <v>204</v>
      </c>
      <c r="D41" s="1" t="s">
        <v>223</v>
      </c>
      <c r="E41" s="1">
        <v>2176</v>
      </c>
      <c r="F41" s="1">
        <v>13.9</v>
      </c>
      <c r="G41" s="1">
        <f t="shared" si="0"/>
        <v>30246.400000000001</v>
      </c>
      <c r="H41" s="1">
        <f>G41*Emission_factor!$C$7</f>
        <v>80694.370559999996</v>
      </c>
    </row>
    <row r="42" spans="1:8" x14ac:dyDescent="0.25">
      <c r="A42" s="1">
        <v>41</v>
      </c>
      <c r="B42" s="1" t="s">
        <v>29</v>
      </c>
      <c r="C42" s="1" t="s">
        <v>205</v>
      </c>
      <c r="D42" s="1" t="s">
        <v>223</v>
      </c>
      <c r="E42" s="1">
        <v>1690</v>
      </c>
      <c r="F42" s="1">
        <v>13.8</v>
      </c>
      <c r="G42" s="1">
        <f t="shared" si="0"/>
        <v>23322</v>
      </c>
      <c r="H42" s="1">
        <f>G42*Emission_factor!$C$7</f>
        <v>62220.763800000001</v>
      </c>
    </row>
    <row r="43" spans="1:8" x14ac:dyDescent="0.25">
      <c r="A43" s="1">
        <v>42</v>
      </c>
      <c r="B43" s="1" t="s">
        <v>29</v>
      </c>
      <c r="C43" s="1" t="s">
        <v>206</v>
      </c>
      <c r="D43" s="1" t="s">
        <v>223</v>
      </c>
      <c r="E43" s="1">
        <v>2238</v>
      </c>
      <c r="F43" s="1">
        <v>14</v>
      </c>
      <c r="G43" s="1">
        <f t="shared" si="0"/>
        <v>31332</v>
      </c>
      <c r="H43" s="1">
        <f>G43*Emission_factor!$C$7</f>
        <v>83590.642800000001</v>
      </c>
    </row>
    <row r="44" spans="1:8" x14ac:dyDescent="0.25">
      <c r="A44" s="1">
        <v>43</v>
      </c>
      <c r="B44" s="1" t="s">
        <v>29</v>
      </c>
      <c r="C44" s="1" t="s">
        <v>207</v>
      </c>
      <c r="D44" s="1" t="s">
        <v>223</v>
      </c>
      <c r="E44" s="1">
        <v>2142</v>
      </c>
      <c r="F44" s="1">
        <v>14</v>
      </c>
      <c r="G44" s="1">
        <f t="shared" si="0"/>
        <v>29988</v>
      </c>
      <c r="H44" s="1">
        <f>G44*Emission_factor!$C$7</f>
        <v>80004.985199999996</v>
      </c>
    </row>
    <row r="45" spans="1:8" x14ac:dyDescent="0.25">
      <c r="A45" s="1">
        <v>44</v>
      </c>
      <c r="B45" s="1" t="s">
        <v>29</v>
      </c>
      <c r="C45" s="1" t="s">
        <v>208</v>
      </c>
      <c r="D45" s="1" t="s">
        <v>223</v>
      </c>
      <c r="E45" s="1">
        <v>1785</v>
      </c>
      <c r="F45" s="1">
        <v>13.8</v>
      </c>
      <c r="G45" s="1">
        <f t="shared" si="0"/>
        <v>24633</v>
      </c>
      <c r="H45" s="1">
        <f>G45*Emission_factor!$C$7</f>
        <v>65718.380699999994</v>
      </c>
    </row>
    <row r="46" spans="1:8" x14ac:dyDescent="0.25">
      <c r="A46" s="1">
        <v>45</v>
      </c>
      <c r="B46" s="1" t="s">
        <v>29</v>
      </c>
      <c r="C46" s="1" t="s">
        <v>209</v>
      </c>
      <c r="D46" s="1" t="s">
        <v>223</v>
      </c>
      <c r="E46" s="1">
        <v>1569</v>
      </c>
      <c r="F46" s="1">
        <v>13.7</v>
      </c>
      <c r="G46" s="1">
        <f t="shared" si="0"/>
        <v>21495.3</v>
      </c>
      <c r="H46" s="1">
        <f>G46*Emission_factor!$C$7</f>
        <v>57347.310869999994</v>
      </c>
    </row>
    <row r="47" spans="1:8" x14ac:dyDescent="0.25">
      <c r="A47" s="1">
        <v>46</v>
      </c>
      <c r="B47" s="1" t="s">
        <v>29</v>
      </c>
      <c r="C47" s="1" t="s">
        <v>210</v>
      </c>
      <c r="D47" s="1" t="s">
        <v>223</v>
      </c>
      <c r="E47" s="1">
        <v>2222</v>
      </c>
      <c r="F47" s="1">
        <v>14</v>
      </c>
      <c r="G47" s="1">
        <f t="shared" si="0"/>
        <v>31108</v>
      </c>
      <c r="H47" s="1">
        <f>G47*Emission_factor!$C$7</f>
        <v>82993.033200000005</v>
      </c>
    </row>
    <row r="48" spans="1:8" x14ac:dyDescent="0.25">
      <c r="A48" s="1">
        <v>47</v>
      </c>
      <c r="B48" s="1" t="s">
        <v>29</v>
      </c>
      <c r="C48" s="1" t="s">
        <v>211</v>
      </c>
      <c r="D48" s="1" t="s">
        <v>223</v>
      </c>
      <c r="E48" s="1">
        <v>2484</v>
      </c>
      <c r="F48" s="1">
        <v>14</v>
      </c>
      <c r="G48" s="1">
        <f t="shared" si="0"/>
        <v>34776</v>
      </c>
      <c r="H48" s="1">
        <f>G48*Emission_factor!$C$7</f>
        <v>92778.890400000004</v>
      </c>
    </row>
    <row r="49" spans="1:8" x14ac:dyDescent="0.25">
      <c r="A49" s="1">
        <v>48</v>
      </c>
      <c r="B49" s="1" t="s">
        <v>29</v>
      </c>
      <c r="C49" s="1" t="s">
        <v>212</v>
      </c>
      <c r="D49" s="1" t="s">
        <v>224</v>
      </c>
      <c r="E49" s="1">
        <v>84</v>
      </c>
      <c r="F49" s="1">
        <v>5</v>
      </c>
      <c r="G49" s="1">
        <f t="shared" si="0"/>
        <v>420</v>
      </c>
      <c r="H49" s="1">
        <f>G49*Emission_factor!$C$7</f>
        <v>1120.518</v>
      </c>
    </row>
    <row r="50" spans="1:8" x14ac:dyDescent="0.25">
      <c r="A50" s="1">
        <v>49</v>
      </c>
      <c r="B50" s="1" t="s">
        <v>29</v>
      </c>
      <c r="C50" s="1" t="s">
        <v>213</v>
      </c>
      <c r="D50" s="1" t="s">
        <v>224</v>
      </c>
      <c r="E50" s="1">
        <v>2782</v>
      </c>
      <c r="F50" s="1">
        <v>5</v>
      </c>
      <c r="G50" s="1">
        <f t="shared" si="0"/>
        <v>13910</v>
      </c>
      <c r="H50" s="1">
        <f>G50*Emission_factor!$C$7</f>
        <v>37110.489000000001</v>
      </c>
    </row>
    <row r="51" spans="1:8" x14ac:dyDescent="0.25">
      <c r="A51" s="1">
        <v>50</v>
      </c>
      <c r="B51" s="1" t="s">
        <v>29</v>
      </c>
      <c r="C51" s="1" t="s">
        <v>214</v>
      </c>
      <c r="D51" s="1" t="s">
        <v>224</v>
      </c>
      <c r="E51" s="1">
        <v>1516</v>
      </c>
      <c r="F51" s="1">
        <v>5</v>
      </c>
      <c r="G51" s="1">
        <f t="shared" si="0"/>
        <v>7580</v>
      </c>
      <c r="H51" s="1">
        <f>G51*Emission_factor!$C$7</f>
        <v>20222.682000000001</v>
      </c>
    </row>
    <row r="52" spans="1:8" x14ac:dyDescent="0.25">
      <c r="A52" s="1"/>
      <c r="B52" s="1"/>
      <c r="C52" s="1"/>
      <c r="D52" s="1"/>
      <c r="E52" s="1"/>
      <c r="F52" s="1" t="s">
        <v>225</v>
      </c>
      <c r="G52" s="1">
        <f>SUM(G2:G51)</f>
        <v>1365341.2</v>
      </c>
      <c r="H52" s="1">
        <f>G52*Emission_factor!$C$7</f>
        <v>3642593.7874799999</v>
      </c>
    </row>
    <row r="53" spans="1:8" x14ac:dyDescent="0.25">
      <c r="A53" s="1"/>
      <c r="B53" s="1"/>
      <c r="C53" s="1"/>
      <c r="D53" s="1"/>
      <c r="E53" s="1"/>
      <c r="F53" s="1"/>
      <c r="G53" s="1" t="s">
        <v>287</v>
      </c>
      <c r="H53" s="1" t="s">
        <v>520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5"/>
  <sheetViews>
    <sheetView workbookViewId="0">
      <selection activeCell="E2" sqref="E2"/>
    </sheetView>
  </sheetViews>
  <sheetFormatPr defaultRowHeight="15" x14ac:dyDescent="0.25"/>
  <cols>
    <col min="2" max="2" width="13.140625" bestFit="1" customWidth="1"/>
    <col min="7" max="7" width="14.5703125" bestFit="1" customWidth="1"/>
  </cols>
  <sheetData>
    <row r="1" spans="1:7" ht="17.25" x14ac:dyDescent="0.25">
      <c r="A1" s="1" t="s">
        <v>118</v>
      </c>
      <c r="B1" s="1" t="s">
        <v>0</v>
      </c>
      <c r="C1" s="1" t="s">
        <v>123</v>
      </c>
      <c r="D1" s="1" t="s">
        <v>124</v>
      </c>
      <c r="E1" s="16" t="s">
        <v>226</v>
      </c>
      <c r="F1" s="17" t="s">
        <v>523</v>
      </c>
      <c r="G1" s="4" t="s">
        <v>522</v>
      </c>
    </row>
    <row r="2" spans="1:7" x14ac:dyDescent="0.25">
      <c r="A2" s="1">
        <v>1</v>
      </c>
      <c r="B2" s="1" t="s">
        <v>10</v>
      </c>
      <c r="C2" s="1">
        <v>2023</v>
      </c>
      <c r="D2" s="1" t="s">
        <v>146</v>
      </c>
      <c r="E2" s="1">
        <v>97876.18</v>
      </c>
      <c r="F2" s="1">
        <v>89654</v>
      </c>
      <c r="G2" s="1">
        <f>F2*Emission_factor!$C$6</f>
        <v>100412.48000000001</v>
      </c>
    </row>
    <row r="3" spans="1:7" x14ac:dyDescent="0.25">
      <c r="A3" s="1">
        <v>2</v>
      </c>
      <c r="B3" s="1" t="s">
        <v>10</v>
      </c>
      <c r="C3" s="1">
        <v>2023</v>
      </c>
      <c r="D3" s="1" t="s">
        <v>126</v>
      </c>
      <c r="E3" s="1">
        <v>129448</v>
      </c>
      <c r="F3" s="1">
        <v>116812</v>
      </c>
      <c r="G3" s="1">
        <f>F3*Emission_factor!$C$6</f>
        <v>130829.44000000002</v>
      </c>
    </row>
    <row r="4" spans="1:7" x14ac:dyDescent="0.25">
      <c r="A4" s="1">
        <v>3</v>
      </c>
      <c r="B4" s="1" t="s">
        <v>10</v>
      </c>
      <c r="C4" s="1">
        <v>2023</v>
      </c>
      <c r="D4" s="1" t="s">
        <v>147</v>
      </c>
      <c r="E4" s="1">
        <v>59295</v>
      </c>
      <c r="F4" s="1">
        <v>8319</v>
      </c>
      <c r="G4" s="1">
        <f>F4*Emission_factor!$C$6</f>
        <v>9317.2800000000007</v>
      </c>
    </row>
    <row r="5" spans="1:7" x14ac:dyDescent="0.25">
      <c r="A5" s="1">
        <v>4</v>
      </c>
      <c r="B5" s="1" t="s">
        <v>10</v>
      </c>
      <c r="C5" s="1">
        <v>2023</v>
      </c>
      <c r="D5" s="1" t="s">
        <v>148</v>
      </c>
      <c r="E5" s="1">
        <v>83449.45</v>
      </c>
      <c r="F5" s="1">
        <v>78308</v>
      </c>
      <c r="G5" s="1">
        <f>F5*Emission_factor!$C$6</f>
        <v>87704.960000000006</v>
      </c>
    </row>
    <row r="6" spans="1:7" x14ac:dyDescent="0.25">
      <c r="A6" s="1">
        <v>5</v>
      </c>
      <c r="B6" s="1" t="s">
        <v>10</v>
      </c>
      <c r="C6" s="1">
        <v>2023</v>
      </c>
      <c r="D6" s="1" t="s">
        <v>149</v>
      </c>
      <c r="E6" s="1">
        <v>72649.55</v>
      </c>
      <c r="F6" s="1">
        <v>71287</v>
      </c>
      <c r="G6" s="1">
        <f>F6*Emission_factor!$C$6</f>
        <v>79841.440000000002</v>
      </c>
    </row>
    <row r="7" spans="1:7" x14ac:dyDescent="0.25">
      <c r="A7" s="1">
        <v>6</v>
      </c>
      <c r="B7" s="1" t="s">
        <v>10</v>
      </c>
      <c r="C7" s="1">
        <v>2023</v>
      </c>
      <c r="D7" s="1" t="s">
        <v>150</v>
      </c>
      <c r="E7" s="1">
        <v>74403</v>
      </c>
      <c r="F7" s="1">
        <v>74403</v>
      </c>
      <c r="G7" s="1">
        <f>F7*Emission_factor!$C$6</f>
        <v>83331.360000000015</v>
      </c>
    </row>
    <row r="8" spans="1:7" x14ac:dyDescent="0.25">
      <c r="A8" s="1">
        <v>7</v>
      </c>
      <c r="B8" s="1" t="s">
        <v>10</v>
      </c>
      <c r="C8" s="1">
        <v>2023</v>
      </c>
      <c r="D8" s="1" t="s">
        <v>151</v>
      </c>
      <c r="E8" s="1">
        <v>98428.91</v>
      </c>
      <c r="F8" s="1">
        <v>96534</v>
      </c>
      <c r="G8" s="1">
        <f>F8*Emission_factor!$C$6</f>
        <v>108118.08000000002</v>
      </c>
    </row>
    <row r="9" spans="1:7" x14ac:dyDescent="0.25">
      <c r="A9" s="1">
        <v>8</v>
      </c>
      <c r="B9" s="1" t="s">
        <v>10</v>
      </c>
      <c r="C9" s="1">
        <v>2023</v>
      </c>
      <c r="D9" s="1" t="s">
        <v>152</v>
      </c>
      <c r="E9" s="1">
        <v>174239.35999999999</v>
      </c>
      <c r="F9" s="1">
        <v>167347</v>
      </c>
      <c r="G9" s="1">
        <f>F9*Emission_factor!$C$6</f>
        <v>187428.64</v>
      </c>
    </row>
    <row r="10" spans="1:7" x14ac:dyDescent="0.25">
      <c r="A10" s="1">
        <v>9</v>
      </c>
      <c r="B10" s="1" t="s">
        <v>10</v>
      </c>
      <c r="C10" s="1">
        <v>2023</v>
      </c>
      <c r="D10" s="1" t="s">
        <v>153</v>
      </c>
      <c r="E10" s="1">
        <v>279482.73</v>
      </c>
      <c r="F10" s="1">
        <v>266970</v>
      </c>
      <c r="G10" s="1">
        <f>F10*Emission_factor!$C$6</f>
        <v>299006.40000000002</v>
      </c>
    </row>
    <row r="11" spans="1:7" x14ac:dyDescent="0.25">
      <c r="A11" s="1">
        <v>10</v>
      </c>
      <c r="B11" s="1" t="s">
        <v>10</v>
      </c>
      <c r="C11" s="1">
        <v>2024</v>
      </c>
      <c r="D11" s="1" t="s">
        <v>154</v>
      </c>
      <c r="E11" s="1">
        <v>285389.73</v>
      </c>
      <c r="F11" s="1">
        <v>257709</v>
      </c>
      <c r="G11" s="1">
        <f>F11*Emission_factor!$C$6</f>
        <v>288634.08</v>
      </c>
    </row>
    <row r="12" spans="1:7" x14ac:dyDescent="0.25">
      <c r="A12" s="1">
        <v>11</v>
      </c>
      <c r="B12" s="1" t="s">
        <v>10</v>
      </c>
      <c r="C12" s="1">
        <v>2024</v>
      </c>
      <c r="D12" s="1" t="s">
        <v>155</v>
      </c>
      <c r="E12" s="1">
        <v>274092.36</v>
      </c>
      <c r="F12" s="1">
        <v>240932</v>
      </c>
      <c r="G12" s="1">
        <f>F12*Emission_factor!$C$6</f>
        <v>269843.84000000003</v>
      </c>
    </row>
    <row r="13" spans="1:7" x14ac:dyDescent="0.25">
      <c r="A13" s="1">
        <v>12</v>
      </c>
      <c r="B13" s="1" t="s">
        <v>10</v>
      </c>
      <c r="C13" s="1">
        <v>2024</v>
      </c>
      <c r="D13" s="1" t="s">
        <v>156</v>
      </c>
      <c r="E13" s="1">
        <v>224152.51</v>
      </c>
      <c r="F13" s="1">
        <v>221453.6</v>
      </c>
      <c r="G13" s="1">
        <f>F13*Emission_factor!$C$6</f>
        <v>248028.03200000004</v>
      </c>
    </row>
    <row r="14" spans="1:7" x14ac:dyDescent="0.25">
      <c r="D14" s="4" t="s">
        <v>225</v>
      </c>
      <c r="E14" s="1">
        <f>SUM(E2:E13)</f>
        <v>1852906.78</v>
      </c>
      <c r="F14" s="1">
        <f>SUM(F2:F13)</f>
        <v>1689728.6</v>
      </c>
      <c r="G14" s="1">
        <f>F14*Emission_factor!$C$6</f>
        <v>1892496.0320000004</v>
      </c>
    </row>
    <row r="15" spans="1:7" ht="18" x14ac:dyDescent="0.35">
      <c r="F15" t="s">
        <v>286</v>
      </c>
      <c r="G15" t="s">
        <v>521</v>
      </c>
    </row>
  </sheetData>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7"/>
  <sheetViews>
    <sheetView workbookViewId="0">
      <selection sqref="A1:H16"/>
    </sheetView>
  </sheetViews>
  <sheetFormatPr defaultRowHeight="15" x14ac:dyDescent="0.25"/>
  <cols>
    <col min="2" max="2" width="13.140625" bestFit="1" customWidth="1"/>
    <col min="3" max="3" width="8.5703125" bestFit="1" customWidth="1"/>
    <col min="4" max="4" width="19" bestFit="1" customWidth="1"/>
    <col min="8" max="8" width="15.42578125" bestFit="1" customWidth="1"/>
  </cols>
  <sheetData>
    <row r="1" spans="1:8" x14ac:dyDescent="0.25">
      <c r="A1" s="1" t="s">
        <v>159</v>
      </c>
      <c r="B1" s="1" t="s">
        <v>0</v>
      </c>
      <c r="C1" s="1" t="s">
        <v>160</v>
      </c>
      <c r="D1" s="1" t="s">
        <v>161</v>
      </c>
      <c r="E1" s="1" t="s">
        <v>162</v>
      </c>
      <c r="F1" s="1" t="s">
        <v>163</v>
      </c>
      <c r="G1" s="1" t="s">
        <v>164</v>
      </c>
      <c r="H1" s="4" t="s">
        <v>524</v>
      </c>
    </row>
    <row r="2" spans="1:8" x14ac:dyDescent="0.25">
      <c r="A2" s="1">
        <v>1</v>
      </c>
      <c r="B2" s="1" t="s">
        <v>15</v>
      </c>
      <c r="C2" s="1" t="s">
        <v>227</v>
      </c>
      <c r="D2" s="1" t="s">
        <v>229</v>
      </c>
      <c r="E2" s="1">
        <v>41083</v>
      </c>
      <c r="F2" s="1">
        <v>8.4</v>
      </c>
      <c r="G2" s="1">
        <f>E2/F2</f>
        <v>4890.833333333333</v>
      </c>
      <c r="H2" s="1">
        <f>G2*Emission_factor!$C$8</f>
        <v>13048.254249999998</v>
      </c>
    </row>
    <row r="3" spans="1:8" x14ac:dyDescent="0.25">
      <c r="A3" s="1">
        <v>2</v>
      </c>
      <c r="B3" s="1" t="s">
        <v>15</v>
      </c>
      <c r="C3" s="1" t="s">
        <v>228</v>
      </c>
      <c r="D3" s="1" t="s">
        <v>229</v>
      </c>
      <c r="E3" s="1">
        <v>28816</v>
      </c>
      <c r="F3" s="1">
        <v>8.8000000000000007</v>
      </c>
      <c r="G3" s="1">
        <f>E3/F3</f>
        <v>3274.5454545454545</v>
      </c>
      <c r="H3" s="1">
        <f>G3*Emission_factor!$C$8</f>
        <v>8736.1598181818172</v>
      </c>
    </row>
    <row r="4" spans="1:8" x14ac:dyDescent="0.25">
      <c r="A4" s="1">
        <v>3</v>
      </c>
      <c r="B4" s="1" t="s">
        <v>15</v>
      </c>
      <c r="C4" s="1"/>
      <c r="D4" s="1" t="s">
        <v>230</v>
      </c>
      <c r="E4" s="1">
        <v>53253</v>
      </c>
      <c r="F4" s="1">
        <v>11</v>
      </c>
      <c r="G4" s="1">
        <f>E4/F4</f>
        <v>4841.181818181818</v>
      </c>
      <c r="H4" s="1">
        <f>G4*Emission_factor!$C$8</f>
        <v>12915.788972727272</v>
      </c>
    </row>
    <row r="5" spans="1:8" x14ac:dyDescent="0.25">
      <c r="A5" s="1">
        <v>4</v>
      </c>
      <c r="B5" s="1" t="s">
        <v>15</v>
      </c>
      <c r="C5" s="1"/>
      <c r="D5" s="1" t="s">
        <v>230</v>
      </c>
      <c r="E5" s="1">
        <v>41723</v>
      </c>
      <c r="F5" s="1">
        <v>11</v>
      </c>
      <c r="G5" s="1">
        <f t="shared" ref="G5:G14" si="0">E5/F5</f>
        <v>3793</v>
      </c>
      <c r="H5" s="1">
        <f>G5*Emission_factor!$C$8</f>
        <v>10119.3447</v>
      </c>
    </row>
    <row r="6" spans="1:8" x14ac:dyDescent="0.25">
      <c r="A6" s="1">
        <v>5</v>
      </c>
      <c r="B6" s="1" t="s">
        <v>15</v>
      </c>
      <c r="C6" s="1"/>
      <c r="D6" s="1" t="s">
        <v>230</v>
      </c>
      <c r="E6" s="1">
        <v>22275</v>
      </c>
      <c r="F6" s="1">
        <v>11</v>
      </c>
      <c r="G6" s="1">
        <f t="shared" si="0"/>
        <v>2025</v>
      </c>
      <c r="H6" s="1">
        <f>G6*Emission_factor!$C$8</f>
        <v>5402.4974999999995</v>
      </c>
    </row>
    <row r="7" spans="1:8" x14ac:dyDescent="0.25">
      <c r="A7" s="1">
        <v>6</v>
      </c>
      <c r="B7" s="1" t="s">
        <v>15</v>
      </c>
      <c r="C7" s="1"/>
      <c r="D7" s="1" t="s">
        <v>230</v>
      </c>
      <c r="E7" s="1">
        <v>9735</v>
      </c>
      <c r="F7" s="1">
        <v>11</v>
      </c>
      <c r="G7" s="1">
        <f t="shared" si="0"/>
        <v>885</v>
      </c>
      <c r="H7" s="1">
        <f>G7*Emission_factor!$C$8</f>
        <v>2361.0915</v>
      </c>
    </row>
    <row r="8" spans="1:8" x14ac:dyDescent="0.25">
      <c r="A8" s="1">
        <v>7</v>
      </c>
      <c r="B8" s="1" t="s">
        <v>15</v>
      </c>
      <c r="C8" s="1"/>
      <c r="D8" s="1" t="s">
        <v>230</v>
      </c>
      <c r="E8" s="1">
        <v>10371</v>
      </c>
      <c r="F8" s="1">
        <v>11</v>
      </c>
      <c r="G8" s="1">
        <f t="shared" si="0"/>
        <v>942.81818181818187</v>
      </c>
      <c r="H8" s="1">
        <f>G8*Emission_factor!$C$8</f>
        <v>2515.3446272727274</v>
      </c>
    </row>
    <row r="9" spans="1:8" x14ac:dyDescent="0.25">
      <c r="A9" s="1">
        <v>8</v>
      </c>
      <c r="B9" s="1" t="s">
        <v>15</v>
      </c>
      <c r="C9" s="1"/>
      <c r="D9" s="1" t="s">
        <v>230</v>
      </c>
      <c r="E9" s="1">
        <v>29616</v>
      </c>
      <c r="F9" s="1">
        <v>11</v>
      </c>
      <c r="G9" s="1">
        <f t="shared" si="0"/>
        <v>2692.3636363636365</v>
      </c>
      <c r="H9" s="1">
        <f>G9*Emission_factor!$C$8</f>
        <v>7182.9569454545453</v>
      </c>
    </row>
    <row r="10" spans="1:8" x14ac:dyDescent="0.25">
      <c r="A10" s="1">
        <v>9</v>
      </c>
      <c r="B10" s="1" t="s">
        <v>15</v>
      </c>
      <c r="C10" s="1"/>
      <c r="D10" s="1" t="s">
        <v>230</v>
      </c>
      <c r="E10" s="1">
        <v>17668</v>
      </c>
      <c r="F10" s="1">
        <v>11</v>
      </c>
      <c r="G10" s="1">
        <f t="shared" si="0"/>
        <v>1606.1818181818182</v>
      </c>
      <c r="H10" s="1">
        <f>G10*Emission_factor!$C$8</f>
        <v>4285.1324727272731</v>
      </c>
    </row>
    <row r="11" spans="1:8" x14ac:dyDescent="0.25">
      <c r="A11" s="4">
        <v>10</v>
      </c>
      <c r="B11" s="1" t="s">
        <v>15</v>
      </c>
      <c r="C11" s="1"/>
      <c r="D11" s="4" t="s">
        <v>231</v>
      </c>
      <c r="E11" s="1">
        <v>39493</v>
      </c>
      <c r="F11" s="1">
        <v>7</v>
      </c>
      <c r="G11" s="1">
        <f t="shared" si="0"/>
        <v>5641.8571428571431</v>
      </c>
      <c r="H11" s="1">
        <f>G11*Emission_factor!$C$8</f>
        <v>15051.910671428572</v>
      </c>
    </row>
    <row r="12" spans="1:8" x14ac:dyDescent="0.25">
      <c r="A12" s="1">
        <v>11</v>
      </c>
      <c r="B12" s="1" t="s">
        <v>15</v>
      </c>
      <c r="C12" s="1"/>
      <c r="D12" s="4" t="s">
        <v>231</v>
      </c>
      <c r="E12" s="1">
        <v>41083</v>
      </c>
      <c r="F12" s="1">
        <v>8.43</v>
      </c>
      <c r="G12" s="1">
        <f t="shared" si="0"/>
        <v>4873.4282325029653</v>
      </c>
      <c r="H12" s="1">
        <f>G12*Emission_factor!$C$8</f>
        <v>13001.81918149466</v>
      </c>
    </row>
    <row r="13" spans="1:8" x14ac:dyDescent="0.25">
      <c r="A13" s="1">
        <v>12</v>
      </c>
      <c r="B13" s="1" t="s">
        <v>15</v>
      </c>
      <c r="C13" s="1"/>
      <c r="D13" s="4" t="s">
        <v>231</v>
      </c>
      <c r="E13" s="1">
        <v>28816</v>
      </c>
      <c r="F13" s="1">
        <v>8.7899999999999991</v>
      </c>
      <c r="G13" s="1">
        <f t="shared" si="0"/>
        <v>3278.2707622298071</v>
      </c>
      <c r="H13" s="1">
        <f>G13*Emission_factor!$C$8</f>
        <v>8746.0985665529024</v>
      </c>
    </row>
    <row r="14" spans="1:8" x14ac:dyDescent="0.25">
      <c r="A14" s="4">
        <v>13</v>
      </c>
      <c r="B14" s="1" t="s">
        <v>15</v>
      </c>
      <c r="C14" s="1"/>
      <c r="D14" s="1" t="s">
        <v>232</v>
      </c>
      <c r="E14" s="1">
        <v>25223</v>
      </c>
      <c r="F14" s="1">
        <v>11</v>
      </c>
      <c r="G14" s="1">
        <f t="shared" si="0"/>
        <v>2293</v>
      </c>
      <c r="H14" s="1">
        <f>G14*Emission_factor!$C$8</f>
        <v>6117.4947000000002</v>
      </c>
    </row>
    <row r="15" spans="1:8" x14ac:dyDescent="0.25">
      <c r="A15" s="4">
        <v>14</v>
      </c>
      <c r="B15" s="1" t="s">
        <v>15</v>
      </c>
      <c r="C15" s="1"/>
      <c r="D15" s="1" t="s">
        <v>284</v>
      </c>
      <c r="E15" s="1"/>
      <c r="F15" s="1"/>
      <c r="G15" s="1">
        <v>26400</v>
      </c>
      <c r="H15" s="1">
        <f>G15*Emission_factor!$C$8</f>
        <v>70432.56</v>
      </c>
    </row>
    <row r="16" spans="1:8" x14ac:dyDescent="0.25">
      <c r="F16" s="23" t="s">
        <v>225</v>
      </c>
      <c r="G16" s="24">
        <f>SUM(G2:G15)</f>
        <v>67437.480380014153</v>
      </c>
      <c r="H16" s="1">
        <f>G16*Emission_factor!$C$8</f>
        <v>179916.45390583976</v>
      </c>
    </row>
    <row r="17" spans="7:8" x14ac:dyDescent="0.25">
      <c r="G17" t="s">
        <v>288</v>
      </c>
      <c r="H17" t="s">
        <v>520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J16" sqref="J16"/>
    </sheetView>
  </sheetViews>
  <sheetFormatPr defaultRowHeight="15" x14ac:dyDescent="0.25"/>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
  <sheetViews>
    <sheetView workbookViewId="0">
      <selection activeCell="L23" sqref="L23"/>
    </sheetView>
  </sheetViews>
  <sheetFormatPr defaultRowHeight="15" x14ac:dyDescent="0.25"/>
  <cols>
    <col min="2" max="2" width="15.28515625" bestFit="1" customWidth="1"/>
    <col min="3" max="3" width="12.5703125" bestFit="1" customWidth="1"/>
    <col min="4" max="4" width="17.7109375" bestFit="1" customWidth="1"/>
    <col min="7" max="7" width="9.85546875" bestFit="1" customWidth="1"/>
    <col min="8" max="8" width="15.42578125" bestFit="1" customWidth="1"/>
  </cols>
  <sheetData>
    <row r="1" spans="1:8" x14ac:dyDescent="0.25">
      <c r="A1" s="1" t="s">
        <v>159</v>
      </c>
      <c r="B1" s="1" t="s">
        <v>0</v>
      </c>
      <c r="C1" s="1" t="s">
        <v>160</v>
      </c>
      <c r="D1" s="1" t="s">
        <v>161</v>
      </c>
      <c r="E1" s="1" t="s">
        <v>241</v>
      </c>
      <c r="F1" s="1" t="s">
        <v>242</v>
      </c>
      <c r="G1" s="1" t="s">
        <v>138</v>
      </c>
      <c r="H1" s="4" t="s">
        <v>524</v>
      </c>
    </row>
    <row r="2" spans="1:8" x14ac:dyDescent="0.25">
      <c r="A2" s="1">
        <v>1</v>
      </c>
      <c r="B2" s="1" t="s">
        <v>157</v>
      </c>
      <c r="C2" s="1" t="s">
        <v>235</v>
      </c>
      <c r="D2" s="1" t="s">
        <v>238</v>
      </c>
      <c r="E2" s="1">
        <v>4648</v>
      </c>
      <c r="F2" s="1">
        <v>37</v>
      </c>
      <c r="G2" s="1">
        <f>E2*F2</f>
        <v>171976</v>
      </c>
      <c r="H2" s="1">
        <f>G2*Emission_factor!$C$10</f>
        <v>458814.77039999998</v>
      </c>
    </row>
    <row r="3" spans="1:8" x14ac:dyDescent="0.25">
      <c r="A3" s="1">
        <v>2</v>
      </c>
      <c r="B3" s="1" t="s">
        <v>157</v>
      </c>
      <c r="C3" s="1" t="s">
        <v>236</v>
      </c>
      <c r="D3" s="1" t="s">
        <v>239</v>
      </c>
      <c r="E3" s="1">
        <v>2096</v>
      </c>
      <c r="F3" s="1">
        <v>43</v>
      </c>
      <c r="G3" s="1">
        <f t="shared" ref="G3:G4" si="0">E3*F3</f>
        <v>90128</v>
      </c>
      <c r="H3" s="1">
        <f>G3*Emission_factor!$C$10</f>
        <v>240452.49119999999</v>
      </c>
    </row>
    <row r="4" spans="1:8" x14ac:dyDescent="0.25">
      <c r="A4" s="1">
        <v>3</v>
      </c>
      <c r="B4" s="1" t="s">
        <v>157</v>
      </c>
      <c r="C4" s="1" t="s">
        <v>237</v>
      </c>
      <c r="D4" s="1" t="s">
        <v>240</v>
      </c>
      <c r="E4" s="1">
        <v>5400</v>
      </c>
      <c r="F4" s="1">
        <v>46</v>
      </c>
      <c r="G4" s="1">
        <f t="shared" si="0"/>
        <v>248400</v>
      </c>
      <c r="H4" s="1">
        <f>G4*Emission_factor!$C$10</f>
        <v>662706.36</v>
      </c>
    </row>
    <row r="5" spans="1:8" x14ac:dyDescent="0.25">
      <c r="A5" s="1"/>
      <c r="B5" s="1"/>
      <c r="C5" s="1"/>
      <c r="D5" s="1"/>
      <c r="E5" s="1"/>
      <c r="F5" s="1" t="s">
        <v>225</v>
      </c>
      <c r="G5" s="1">
        <f>SUM(G2:G4)</f>
        <v>510504</v>
      </c>
      <c r="H5" s="1">
        <f>G5*Emission_factor!$C$10</f>
        <v>1361973.6216</v>
      </c>
    </row>
    <row r="6" spans="1:8" x14ac:dyDescent="0.25">
      <c r="G6" t="s">
        <v>288</v>
      </c>
      <c r="H6" t="s">
        <v>525</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2"/>
  <sheetViews>
    <sheetView workbookViewId="0">
      <selection activeCell="K25" sqref="K25"/>
    </sheetView>
  </sheetViews>
  <sheetFormatPr defaultRowHeight="15" x14ac:dyDescent="0.25"/>
  <cols>
    <col min="2" max="2" width="13.140625" bestFit="1" customWidth="1"/>
    <col min="4" max="4" width="13.28515625" bestFit="1" customWidth="1"/>
    <col min="7" max="7" width="10.140625" bestFit="1" customWidth="1"/>
    <col min="8" max="8" width="14.5703125" bestFit="1" customWidth="1"/>
  </cols>
  <sheetData>
    <row r="1" spans="1:8" x14ac:dyDescent="0.25">
      <c r="A1" s="1" t="s">
        <v>159</v>
      </c>
      <c r="B1" s="1" t="s">
        <v>0</v>
      </c>
      <c r="C1" s="1" t="s">
        <v>160</v>
      </c>
      <c r="D1" s="1" t="s">
        <v>161</v>
      </c>
      <c r="E1" s="1" t="s">
        <v>254</v>
      </c>
      <c r="F1" s="1" t="s">
        <v>255</v>
      </c>
      <c r="G1" s="1" t="s">
        <v>256</v>
      </c>
      <c r="H1" s="3" t="s">
        <v>522</v>
      </c>
    </row>
    <row r="2" spans="1:8" x14ac:dyDescent="0.25">
      <c r="A2" s="1">
        <v>1</v>
      </c>
      <c r="B2" s="8" t="s">
        <v>233</v>
      </c>
      <c r="C2" s="1" t="s">
        <v>243</v>
      </c>
      <c r="D2" s="1" t="s">
        <v>252</v>
      </c>
      <c r="E2" s="1">
        <v>2293.8200000000002</v>
      </c>
      <c r="F2" s="1">
        <v>0.7</v>
      </c>
      <c r="G2" s="1">
        <f>E2*F2</f>
        <v>1605.674</v>
      </c>
      <c r="H2">
        <f>G2*Emission_factor!$C$10</f>
        <v>4283.7776646000002</v>
      </c>
    </row>
    <row r="3" spans="1:8" x14ac:dyDescent="0.25">
      <c r="A3" s="1">
        <v>2</v>
      </c>
      <c r="B3" s="8" t="s">
        <v>233</v>
      </c>
      <c r="C3" s="1" t="s">
        <v>244</v>
      </c>
      <c r="D3" s="1" t="s">
        <v>252</v>
      </c>
      <c r="E3" s="1">
        <v>2658</v>
      </c>
      <c r="F3" s="1">
        <v>0.7</v>
      </c>
      <c r="G3" s="1">
        <f t="shared" ref="G3:G10" si="0">E3*F3</f>
        <v>1860.6</v>
      </c>
      <c r="H3">
        <f>G3*Emission_factor!$C$10</f>
        <v>4963.8947399999997</v>
      </c>
    </row>
    <row r="4" spans="1:8" x14ac:dyDescent="0.25">
      <c r="A4" s="1">
        <v>3</v>
      </c>
      <c r="B4" s="8" t="s">
        <v>233</v>
      </c>
      <c r="C4" s="1" t="s">
        <v>245</v>
      </c>
      <c r="D4" s="1" t="s">
        <v>252</v>
      </c>
      <c r="E4" s="1">
        <v>2214.3000000000002</v>
      </c>
      <c r="F4" s="1">
        <v>0.7</v>
      </c>
      <c r="G4" s="1">
        <f t="shared" si="0"/>
        <v>1550.01</v>
      </c>
      <c r="H4">
        <f>G4*Emission_factor!$C$10</f>
        <v>4135.2716789999995</v>
      </c>
    </row>
    <row r="5" spans="1:8" x14ac:dyDescent="0.25">
      <c r="A5" s="1">
        <v>4</v>
      </c>
      <c r="B5" s="8" t="s">
        <v>233</v>
      </c>
      <c r="C5" s="1" t="s">
        <v>246</v>
      </c>
      <c r="D5" s="1" t="s">
        <v>252</v>
      </c>
      <c r="E5" s="1">
        <v>2810.23</v>
      </c>
      <c r="F5" s="1">
        <v>0.8</v>
      </c>
      <c r="G5" s="1">
        <f t="shared" si="0"/>
        <v>2248.1840000000002</v>
      </c>
      <c r="H5">
        <f>G5*Emission_factor!$C$10</f>
        <v>5997.9300936</v>
      </c>
    </row>
    <row r="6" spans="1:8" x14ac:dyDescent="0.25">
      <c r="A6" s="1">
        <v>5</v>
      </c>
      <c r="B6" s="8" t="s">
        <v>233</v>
      </c>
      <c r="C6" s="1" t="s">
        <v>247</v>
      </c>
      <c r="D6" s="1" t="s">
        <v>253</v>
      </c>
      <c r="E6" s="1">
        <v>2967.56</v>
      </c>
      <c r="F6" s="1">
        <v>1</v>
      </c>
      <c r="G6" s="1">
        <f t="shared" si="0"/>
        <v>2967.56</v>
      </c>
      <c r="H6">
        <f>G6*Emission_factor!$C$10</f>
        <v>7917.1533239999999</v>
      </c>
    </row>
    <row r="7" spans="1:8" x14ac:dyDescent="0.25">
      <c r="A7" s="1">
        <v>6</v>
      </c>
      <c r="B7" s="8" t="s">
        <v>233</v>
      </c>
      <c r="C7" s="1" t="s">
        <v>248</v>
      </c>
      <c r="D7" s="1" t="s">
        <v>253</v>
      </c>
      <c r="E7" s="1">
        <v>3247.58</v>
      </c>
      <c r="F7" s="1">
        <v>1</v>
      </c>
      <c r="G7" s="1">
        <f t="shared" si="0"/>
        <v>3247.58</v>
      </c>
      <c r="H7">
        <f>G7*Emission_factor!$C$10</f>
        <v>8664.2186819999988</v>
      </c>
    </row>
    <row r="8" spans="1:8" x14ac:dyDescent="0.25">
      <c r="A8" s="1">
        <v>7</v>
      </c>
      <c r="B8" s="8" t="s">
        <v>233</v>
      </c>
      <c r="C8" s="1" t="s">
        <v>249</v>
      </c>
      <c r="D8" s="1" t="s">
        <v>252</v>
      </c>
      <c r="E8" s="1">
        <v>2499.4</v>
      </c>
      <c r="F8" s="1">
        <v>1</v>
      </c>
      <c r="G8" s="1">
        <f t="shared" si="0"/>
        <v>2499.4</v>
      </c>
      <c r="H8">
        <f>G8*Emission_factor!$C$10</f>
        <v>6668.1492600000001</v>
      </c>
    </row>
    <row r="9" spans="1:8" x14ac:dyDescent="0.25">
      <c r="A9" s="1">
        <v>8</v>
      </c>
      <c r="B9" s="8" t="s">
        <v>233</v>
      </c>
      <c r="C9" s="1" t="s">
        <v>250</v>
      </c>
      <c r="D9" s="1" t="s">
        <v>252</v>
      </c>
      <c r="E9" s="1">
        <v>2707.7</v>
      </c>
      <c r="F9" s="1">
        <v>1</v>
      </c>
      <c r="G9" s="1">
        <f t="shared" si="0"/>
        <v>2707.7</v>
      </c>
      <c r="H9">
        <f>G9*Emission_factor!$C$10</f>
        <v>7223.8728299999993</v>
      </c>
    </row>
    <row r="10" spans="1:8" x14ac:dyDescent="0.25">
      <c r="A10" s="1">
        <v>9</v>
      </c>
      <c r="B10" s="8" t="s">
        <v>233</v>
      </c>
      <c r="C10" s="1" t="s">
        <v>251</v>
      </c>
      <c r="D10" s="1" t="s">
        <v>252</v>
      </c>
      <c r="E10" s="1">
        <v>2602.3000000000002</v>
      </c>
      <c r="F10" s="1">
        <v>0.9</v>
      </c>
      <c r="G10" s="1">
        <f t="shared" si="0"/>
        <v>2342.0700000000002</v>
      </c>
      <c r="H10">
        <f>G10*Emission_factor!$C$10</f>
        <v>6248.4085530000002</v>
      </c>
    </row>
    <row r="11" spans="1:8" x14ac:dyDescent="0.25">
      <c r="F11" t="s">
        <v>225</v>
      </c>
      <c r="G11" s="3">
        <f>SUM(G2:G10)</f>
        <v>21028.777999999998</v>
      </c>
      <c r="H11">
        <f>G11*Emission_factor!$C$10</f>
        <v>56102.676826199997</v>
      </c>
    </row>
    <row r="12" spans="1:8" x14ac:dyDescent="0.25">
      <c r="G12" t="s">
        <v>288</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
  <sheetViews>
    <sheetView workbookViewId="0">
      <selection activeCell="J14" sqref="J14"/>
    </sheetView>
  </sheetViews>
  <sheetFormatPr defaultRowHeight="15" x14ac:dyDescent="0.25"/>
  <cols>
    <col min="2" max="2" width="13.140625" bestFit="1" customWidth="1"/>
    <col min="3" max="3" width="13.7109375" bestFit="1" customWidth="1"/>
    <col min="6" max="6" width="14.42578125" bestFit="1" customWidth="1"/>
    <col min="7" max="7" width="9.85546875" bestFit="1" customWidth="1"/>
    <col min="8" max="8" width="11.85546875" bestFit="1" customWidth="1"/>
    <col min="9" max="9" width="12" bestFit="1" customWidth="1"/>
    <col min="10" max="10" width="15.42578125" bestFit="1" customWidth="1"/>
  </cols>
  <sheetData>
    <row r="1" spans="1:10" x14ac:dyDescent="0.25">
      <c r="A1" s="1" t="s">
        <v>257</v>
      </c>
      <c r="B1" s="1" t="s">
        <v>0</v>
      </c>
      <c r="C1" s="1" t="s">
        <v>259</v>
      </c>
      <c r="D1" s="1" t="s">
        <v>260</v>
      </c>
      <c r="E1" s="1" t="s">
        <v>267</v>
      </c>
      <c r="F1" s="1" t="s">
        <v>275</v>
      </c>
      <c r="G1" s="1" t="s">
        <v>276</v>
      </c>
      <c r="H1" s="1" t="s">
        <v>277</v>
      </c>
      <c r="I1" s="4" t="s">
        <v>278</v>
      </c>
      <c r="J1" s="3" t="s">
        <v>524</v>
      </c>
    </row>
    <row r="2" spans="1:10" x14ac:dyDescent="0.25">
      <c r="A2" s="1">
        <v>1</v>
      </c>
      <c r="B2" s="1" t="s">
        <v>527</v>
      </c>
      <c r="C2" s="1" t="s">
        <v>261</v>
      </c>
      <c r="D2" s="1">
        <v>1</v>
      </c>
      <c r="E2" s="1">
        <v>1.5</v>
      </c>
      <c r="F2" s="1">
        <v>1500</v>
      </c>
      <c r="G2" s="1">
        <v>8</v>
      </c>
      <c r="H2" s="1">
        <f>G2*F2</f>
        <v>12000</v>
      </c>
      <c r="I2" s="1">
        <f>(0.68+1.13)/2</f>
        <v>0.90500000000000003</v>
      </c>
      <c r="J2">
        <f>I2*Emission_factor!$C$12</f>
        <v>1889.64</v>
      </c>
    </row>
    <row r="3" spans="1:10" x14ac:dyDescent="0.25">
      <c r="A3" s="1">
        <v>2</v>
      </c>
      <c r="B3" s="1" t="s">
        <v>527</v>
      </c>
      <c r="C3" s="1" t="s">
        <v>262</v>
      </c>
      <c r="D3" s="1">
        <v>1</v>
      </c>
      <c r="E3" s="1">
        <v>1.5</v>
      </c>
      <c r="F3" s="1">
        <v>1500</v>
      </c>
      <c r="G3" s="1">
        <v>8</v>
      </c>
      <c r="H3" s="1">
        <f t="shared" ref="H3:H13" si="0">G3*F3</f>
        <v>12000</v>
      </c>
      <c r="I3" s="1">
        <f t="shared" ref="I3:I13" si="1">(0.68+1.13)/2</f>
        <v>0.90500000000000003</v>
      </c>
      <c r="J3">
        <f>I3*Emission_factor!$C$12</f>
        <v>1889.64</v>
      </c>
    </row>
    <row r="4" spans="1:10" x14ac:dyDescent="0.25">
      <c r="A4" s="1">
        <v>3</v>
      </c>
      <c r="B4" s="1" t="s">
        <v>527</v>
      </c>
      <c r="C4" s="1" t="s">
        <v>263</v>
      </c>
      <c r="D4" s="1">
        <v>1</v>
      </c>
      <c r="E4" s="1">
        <v>1.5</v>
      </c>
      <c r="F4" s="1">
        <v>1500</v>
      </c>
      <c r="G4" s="1">
        <v>8</v>
      </c>
      <c r="H4" s="1">
        <f t="shared" si="0"/>
        <v>12000</v>
      </c>
      <c r="I4" s="1">
        <f t="shared" si="1"/>
        <v>0.90500000000000003</v>
      </c>
      <c r="J4">
        <f>I4*Emission_factor!$C$12</f>
        <v>1889.64</v>
      </c>
    </row>
    <row r="5" spans="1:10" x14ac:dyDescent="0.25">
      <c r="A5" s="1">
        <v>4</v>
      </c>
      <c r="B5" s="1" t="s">
        <v>527</v>
      </c>
      <c r="C5" s="1" t="s">
        <v>264</v>
      </c>
      <c r="D5" s="1">
        <v>1</v>
      </c>
      <c r="E5" s="1">
        <v>1.5</v>
      </c>
      <c r="F5" s="1">
        <v>1500</v>
      </c>
      <c r="G5" s="1">
        <v>8</v>
      </c>
      <c r="H5" s="1">
        <f t="shared" si="0"/>
        <v>12000</v>
      </c>
      <c r="I5" s="1">
        <f t="shared" si="1"/>
        <v>0.90500000000000003</v>
      </c>
      <c r="J5">
        <f>I5*Emission_factor!$C$12</f>
        <v>1889.64</v>
      </c>
    </row>
    <row r="6" spans="1:10" x14ac:dyDescent="0.25">
      <c r="A6" s="1">
        <v>5</v>
      </c>
      <c r="B6" s="1" t="s">
        <v>527</v>
      </c>
      <c r="C6" s="1" t="s">
        <v>271</v>
      </c>
      <c r="D6" s="1">
        <v>2</v>
      </c>
      <c r="E6" s="1">
        <v>1.5</v>
      </c>
      <c r="F6" s="1">
        <v>1500</v>
      </c>
      <c r="G6" s="1">
        <v>8</v>
      </c>
      <c r="H6" s="1">
        <f t="shared" si="0"/>
        <v>12000</v>
      </c>
      <c r="I6" s="1">
        <f t="shared" si="1"/>
        <v>0.90500000000000003</v>
      </c>
      <c r="J6">
        <f>I6*Emission_factor!$C$12</f>
        <v>1889.64</v>
      </c>
    </row>
    <row r="7" spans="1:10" x14ac:dyDescent="0.25">
      <c r="A7" s="1">
        <v>6</v>
      </c>
      <c r="B7" s="1" t="s">
        <v>527</v>
      </c>
      <c r="C7" s="1" t="s">
        <v>268</v>
      </c>
      <c r="D7" s="1">
        <v>1</v>
      </c>
      <c r="E7" s="1">
        <v>1.5</v>
      </c>
      <c r="F7" s="1">
        <v>1500</v>
      </c>
      <c r="G7" s="1">
        <v>8</v>
      </c>
      <c r="H7" s="1">
        <f t="shared" si="0"/>
        <v>12000</v>
      </c>
      <c r="I7" s="1">
        <f t="shared" si="1"/>
        <v>0.90500000000000003</v>
      </c>
      <c r="J7">
        <f>I7*Emission_factor!$C$12</f>
        <v>1889.64</v>
      </c>
    </row>
    <row r="8" spans="1:10" x14ac:dyDescent="0.25">
      <c r="A8" s="1">
        <v>7</v>
      </c>
      <c r="B8" s="1" t="s">
        <v>527</v>
      </c>
      <c r="C8" s="1" t="s">
        <v>265</v>
      </c>
      <c r="D8" s="1">
        <v>1</v>
      </c>
      <c r="E8" s="1">
        <v>1.5</v>
      </c>
      <c r="F8" s="1">
        <v>1500</v>
      </c>
      <c r="G8" s="1">
        <v>8</v>
      </c>
      <c r="H8" s="1">
        <f t="shared" si="0"/>
        <v>12000</v>
      </c>
      <c r="I8" s="1">
        <f t="shared" si="1"/>
        <v>0.90500000000000003</v>
      </c>
      <c r="J8">
        <f>I8*Emission_factor!$C$12</f>
        <v>1889.64</v>
      </c>
    </row>
    <row r="9" spans="1:10" x14ac:dyDescent="0.25">
      <c r="A9" s="1">
        <v>8</v>
      </c>
      <c r="B9" s="1" t="s">
        <v>527</v>
      </c>
      <c r="C9" s="1" t="s">
        <v>273</v>
      </c>
      <c r="D9" s="1">
        <v>1</v>
      </c>
      <c r="E9" s="1">
        <v>1.5</v>
      </c>
      <c r="F9" s="1">
        <v>1500</v>
      </c>
      <c r="G9" s="1">
        <v>8</v>
      </c>
      <c r="H9" s="1">
        <f t="shared" si="0"/>
        <v>12000</v>
      </c>
      <c r="I9" s="1">
        <f t="shared" si="1"/>
        <v>0.90500000000000003</v>
      </c>
      <c r="J9">
        <f>I9*Emission_factor!$C$12</f>
        <v>1889.64</v>
      </c>
    </row>
    <row r="10" spans="1:10" x14ac:dyDescent="0.25">
      <c r="A10" s="1">
        <v>9</v>
      </c>
      <c r="B10" s="1" t="s">
        <v>527</v>
      </c>
      <c r="C10" s="1" t="s">
        <v>272</v>
      </c>
      <c r="D10" s="1">
        <v>1</v>
      </c>
      <c r="E10" s="1">
        <v>1.5</v>
      </c>
      <c r="F10" s="1">
        <v>1500</v>
      </c>
      <c r="G10" s="1">
        <v>8</v>
      </c>
      <c r="H10" s="1">
        <f t="shared" si="0"/>
        <v>12000</v>
      </c>
      <c r="I10" s="1">
        <f t="shared" si="1"/>
        <v>0.90500000000000003</v>
      </c>
      <c r="J10">
        <f>I10*Emission_factor!$C$12</f>
        <v>1889.64</v>
      </c>
    </row>
    <row r="11" spans="1:10" x14ac:dyDescent="0.25">
      <c r="A11" s="1">
        <v>10</v>
      </c>
      <c r="B11" s="1" t="s">
        <v>527</v>
      </c>
      <c r="C11" s="1" t="s">
        <v>269</v>
      </c>
      <c r="D11" s="1">
        <v>1</v>
      </c>
      <c r="E11" s="1">
        <v>1.5</v>
      </c>
      <c r="F11" s="1">
        <v>1500</v>
      </c>
      <c r="G11" s="1">
        <v>8</v>
      </c>
      <c r="H11" s="1">
        <f t="shared" si="0"/>
        <v>12000</v>
      </c>
      <c r="I11" s="1">
        <f t="shared" si="1"/>
        <v>0.90500000000000003</v>
      </c>
      <c r="J11">
        <f>I11*Emission_factor!$C$12</f>
        <v>1889.64</v>
      </c>
    </row>
    <row r="12" spans="1:10" x14ac:dyDescent="0.25">
      <c r="A12" s="1">
        <v>11</v>
      </c>
      <c r="B12" s="1" t="s">
        <v>527</v>
      </c>
      <c r="C12" s="1" t="s">
        <v>270</v>
      </c>
      <c r="D12" s="1">
        <v>1</v>
      </c>
      <c r="E12" s="1">
        <v>1.5</v>
      </c>
      <c r="F12" s="1">
        <v>1500</v>
      </c>
      <c r="G12" s="1">
        <v>8</v>
      </c>
      <c r="H12" s="1">
        <f t="shared" si="0"/>
        <v>12000</v>
      </c>
      <c r="I12" s="1">
        <f t="shared" si="1"/>
        <v>0.90500000000000003</v>
      </c>
      <c r="J12">
        <f>I12*Emission_factor!$C$12</f>
        <v>1889.64</v>
      </c>
    </row>
    <row r="13" spans="1:10" x14ac:dyDescent="0.25">
      <c r="A13" s="1">
        <v>12</v>
      </c>
      <c r="B13" s="1" t="s">
        <v>527</v>
      </c>
      <c r="C13" s="1" t="s">
        <v>266</v>
      </c>
      <c r="D13" s="1">
        <v>1</v>
      </c>
      <c r="E13" s="1">
        <v>1.5</v>
      </c>
      <c r="F13" s="1">
        <v>1500</v>
      </c>
      <c r="G13" s="1">
        <v>8</v>
      </c>
      <c r="H13" s="1">
        <f t="shared" si="0"/>
        <v>12000</v>
      </c>
      <c r="I13" s="1">
        <f t="shared" si="1"/>
        <v>0.90500000000000003</v>
      </c>
      <c r="J13">
        <f>I13*Emission_factor!$C$12</f>
        <v>1889.64</v>
      </c>
    </row>
    <row r="14" spans="1:10" x14ac:dyDescent="0.25">
      <c r="D14">
        <f>SUM(D2:D13)</f>
        <v>13</v>
      </c>
      <c r="G14" s="1" t="s">
        <v>225</v>
      </c>
      <c r="H14" s="4">
        <f>SUM(H2:H13)/1000</f>
        <v>144</v>
      </c>
      <c r="I14" s="4">
        <f>SUM(I2:I13)</f>
        <v>10.86</v>
      </c>
      <c r="J14">
        <f>I14*Emission_factor!$C$12</f>
        <v>22675.68</v>
      </c>
    </row>
    <row r="15" spans="1:10" x14ac:dyDescent="0.25">
      <c r="I15" t="s">
        <v>289</v>
      </c>
      <c r="J15" t="s">
        <v>526</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
  <sheetViews>
    <sheetView workbookViewId="0">
      <selection activeCell="H2" sqref="H2"/>
    </sheetView>
  </sheetViews>
  <sheetFormatPr defaultRowHeight="15" x14ac:dyDescent="0.25"/>
  <cols>
    <col min="2" max="2" width="13.140625" bestFit="1" customWidth="1"/>
    <col min="3" max="3" width="13.140625" customWidth="1"/>
    <col min="4" max="5" width="13.85546875" bestFit="1" customWidth="1"/>
    <col min="6" max="6" width="18.42578125" bestFit="1" customWidth="1"/>
    <col min="7" max="7" width="14.5703125" bestFit="1" customWidth="1"/>
    <col min="8" max="8" width="15.7109375" bestFit="1" customWidth="1"/>
    <col min="9" max="9" width="14.5703125" bestFit="1" customWidth="1"/>
  </cols>
  <sheetData>
    <row r="1" spans="1:9" x14ac:dyDescent="0.25">
      <c r="A1" s="1" t="s">
        <v>279</v>
      </c>
      <c r="B1" s="1" t="s">
        <v>0</v>
      </c>
      <c r="C1" s="1" t="s">
        <v>160</v>
      </c>
      <c r="D1" s="1" t="s">
        <v>536</v>
      </c>
      <c r="E1" s="1" t="s">
        <v>326</v>
      </c>
      <c r="F1" s="1" t="s">
        <v>538</v>
      </c>
      <c r="G1" s="1" t="s">
        <v>534</v>
      </c>
      <c r="H1" s="1" t="s">
        <v>535</v>
      </c>
      <c r="I1" s="1" t="s">
        <v>522</v>
      </c>
    </row>
    <row r="2" spans="1:9" x14ac:dyDescent="0.25">
      <c r="A2" s="1">
        <v>1</v>
      </c>
      <c r="B2" s="1" t="s">
        <v>20</v>
      </c>
      <c r="C2" s="1" t="s">
        <v>327</v>
      </c>
      <c r="D2" s="1">
        <v>89</v>
      </c>
      <c r="E2" s="1">
        <v>48</v>
      </c>
      <c r="F2" s="1">
        <v>9.9</v>
      </c>
      <c r="G2" s="1">
        <v>10.8108</v>
      </c>
      <c r="H2" s="1">
        <v>518.91840000000002</v>
      </c>
      <c r="I2" s="1">
        <f>H2*Emission_factor!C13</f>
        <v>1756.3312166399999</v>
      </c>
    </row>
    <row r="3" spans="1:9" x14ac:dyDescent="0.25">
      <c r="A3" s="1">
        <v>2</v>
      </c>
      <c r="B3" s="1" t="s">
        <v>20</v>
      </c>
      <c r="C3" s="1" t="s">
        <v>328</v>
      </c>
      <c r="D3" s="1">
        <v>50</v>
      </c>
      <c r="E3" s="1">
        <v>48</v>
      </c>
      <c r="F3" s="1">
        <v>11</v>
      </c>
      <c r="G3" s="1">
        <v>15.719000000000001</v>
      </c>
      <c r="H3" s="1">
        <v>754.51200000000006</v>
      </c>
      <c r="I3" s="1"/>
    </row>
    <row r="4" spans="1:9" x14ac:dyDescent="0.25">
      <c r="I4" t="s">
        <v>526</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
  <sheetViews>
    <sheetView workbookViewId="0">
      <selection activeCell="F19" sqref="F19"/>
    </sheetView>
  </sheetViews>
  <sheetFormatPr defaultRowHeight="15" x14ac:dyDescent="0.25"/>
  <cols>
    <col min="2" max="2" width="16.28515625" bestFit="1" customWidth="1"/>
    <col min="3" max="3" width="10.85546875" bestFit="1" customWidth="1"/>
    <col min="4" max="4" width="13.85546875" bestFit="1" customWidth="1"/>
    <col min="5" max="5" width="14.5703125" bestFit="1" customWidth="1"/>
  </cols>
  <sheetData>
    <row r="1" spans="1:5" x14ac:dyDescent="0.25">
      <c r="A1" s="1" t="s">
        <v>159</v>
      </c>
      <c r="B1" s="1" t="s">
        <v>0</v>
      </c>
      <c r="C1" s="1" t="s">
        <v>282</v>
      </c>
      <c r="D1" s="1" t="s">
        <v>283</v>
      </c>
      <c r="E1" s="4" t="s">
        <v>522</v>
      </c>
    </row>
    <row r="2" spans="1:5" x14ac:dyDescent="0.25">
      <c r="A2" s="1">
        <v>1</v>
      </c>
      <c r="B2" s="1" t="s">
        <v>280</v>
      </c>
      <c r="C2" s="1">
        <v>3</v>
      </c>
      <c r="D2" s="1">
        <v>86400</v>
      </c>
      <c r="E2" s="1">
        <f>D2*Emission_factor!C2</f>
        <v>230506.56</v>
      </c>
    </row>
    <row r="3" spans="1:5" x14ac:dyDescent="0.25">
      <c r="D3" t="s">
        <v>285</v>
      </c>
      <c r="E3" t="s">
        <v>526</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
  <sheetViews>
    <sheetView workbookViewId="0">
      <selection activeCell="I26" sqref="I26"/>
    </sheetView>
  </sheetViews>
  <sheetFormatPr defaultRowHeight="15" x14ac:dyDescent="0.25"/>
  <cols>
    <col min="2" max="2" width="13.85546875" bestFit="1" customWidth="1"/>
    <col min="3" max="3" width="10.28515625" bestFit="1" customWidth="1"/>
    <col min="4" max="4" width="12" bestFit="1" customWidth="1"/>
    <col min="5" max="5" width="12.28515625" bestFit="1" customWidth="1"/>
    <col min="6" max="6" width="15.28515625" bestFit="1" customWidth="1"/>
  </cols>
  <sheetData>
    <row r="1" spans="1:6" x14ac:dyDescent="0.25">
      <c r="A1" s="1" t="s">
        <v>279</v>
      </c>
      <c r="B1" s="1" t="s">
        <v>0</v>
      </c>
      <c r="C1" s="1" t="s">
        <v>160</v>
      </c>
      <c r="D1" s="1" t="s">
        <v>297</v>
      </c>
      <c r="E1" s="1" t="s">
        <v>292</v>
      </c>
      <c r="F1" s="4" t="s">
        <v>528</v>
      </c>
    </row>
    <row r="2" spans="1:6" x14ac:dyDescent="0.25">
      <c r="A2" s="1">
        <v>1</v>
      </c>
      <c r="B2" s="7" t="s">
        <v>21</v>
      </c>
      <c r="C2" s="1" t="s">
        <v>290</v>
      </c>
      <c r="D2" s="1" t="s">
        <v>298</v>
      </c>
      <c r="E2" s="1">
        <v>1800</v>
      </c>
      <c r="F2" s="1">
        <f>E2*Emission_factor!$C$14</f>
        <v>950.40000000000009</v>
      </c>
    </row>
    <row r="3" spans="1:6" x14ac:dyDescent="0.25">
      <c r="A3" s="1">
        <v>2</v>
      </c>
      <c r="B3" s="7" t="s">
        <v>21</v>
      </c>
      <c r="C3" s="1" t="s">
        <v>291</v>
      </c>
      <c r="D3" s="1" t="s">
        <v>298</v>
      </c>
      <c r="E3" s="1">
        <v>900</v>
      </c>
      <c r="F3" s="1">
        <f>E3*Emission_factor!$C$14</f>
        <v>475.20000000000005</v>
      </c>
    </row>
    <row r="4" spans="1:6" x14ac:dyDescent="0.25">
      <c r="A4" s="1">
        <v>3</v>
      </c>
      <c r="B4" s="7" t="s">
        <v>21</v>
      </c>
      <c r="C4" s="1" t="s">
        <v>290</v>
      </c>
      <c r="D4" s="1" t="s">
        <v>299</v>
      </c>
      <c r="E4" s="1">
        <v>50947</v>
      </c>
      <c r="F4" s="1">
        <f>E4*Emission_factor!$C$14</f>
        <v>26900.016</v>
      </c>
    </row>
    <row r="5" spans="1:6" x14ac:dyDescent="0.25">
      <c r="A5" s="1">
        <v>4</v>
      </c>
      <c r="B5" s="7" t="s">
        <v>21</v>
      </c>
      <c r="C5" s="1" t="s">
        <v>291</v>
      </c>
      <c r="D5" s="1" t="s">
        <v>299</v>
      </c>
      <c r="E5" s="1">
        <v>3968</v>
      </c>
      <c r="F5" s="1">
        <f>E5*Emission_factor!$C$14</f>
        <v>2095.1040000000003</v>
      </c>
    </row>
    <row r="6" spans="1:6" x14ac:dyDescent="0.25">
      <c r="C6" s="24" t="s">
        <v>225</v>
      </c>
      <c r="D6" s="24"/>
      <c r="E6" s="23">
        <f>SUM(E2:E5)</f>
        <v>57615</v>
      </c>
      <c r="F6" s="1">
        <f>E6*Emission_factor!$C$14</f>
        <v>30420.720000000001</v>
      </c>
    </row>
    <row r="7" spans="1:6" x14ac:dyDescent="0.25">
      <c r="E7" t="s">
        <v>285</v>
      </c>
      <c r="F7" t="s">
        <v>526</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
  <sheetViews>
    <sheetView workbookViewId="0">
      <selection activeCell="D2" sqref="D2"/>
    </sheetView>
  </sheetViews>
  <sheetFormatPr defaultRowHeight="15" x14ac:dyDescent="0.25"/>
  <cols>
    <col min="2" max="2" width="13.140625" bestFit="1" customWidth="1"/>
    <col min="3" max="3" width="15.28515625" bestFit="1" customWidth="1"/>
    <col min="4" max="4" width="18.5703125" bestFit="1" customWidth="1"/>
    <col min="5" max="5" width="14.7109375" bestFit="1" customWidth="1"/>
  </cols>
  <sheetData>
    <row r="1" spans="1:5" x14ac:dyDescent="0.25">
      <c r="A1" s="1" t="s">
        <v>118</v>
      </c>
      <c r="B1" s="1" t="s">
        <v>0</v>
      </c>
      <c r="C1" s="1" t="s">
        <v>160</v>
      </c>
      <c r="D1" s="1" t="s">
        <v>293</v>
      </c>
      <c r="E1" s="1" t="s">
        <v>529</v>
      </c>
    </row>
    <row r="2" spans="1:5" x14ac:dyDescent="0.25">
      <c r="A2" s="1">
        <v>1</v>
      </c>
      <c r="B2" s="1" t="s">
        <v>24</v>
      </c>
      <c r="C2" s="1" t="s">
        <v>294</v>
      </c>
      <c r="D2" s="1">
        <v>247325.6</v>
      </c>
      <c r="E2" s="57">
        <f>D2*Emission_factor!$C$15</f>
        <v>205490.72208559999</v>
      </c>
    </row>
    <row r="3" spans="1:5" x14ac:dyDescent="0.25">
      <c r="A3" s="1">
        <v>2</v>
      </c>
      <c r="B3" s="1" t="s">
        <v>24</v>
      </c>
      <c r="C3" s="1" t="s">
        <v>295</v>
      </c>
      <c r="D3" s="1">
        <v>114274.3</v>
      </c>
      <c r="E3" s="57">
        <f>D3*Emission_factor!$C$15</f>
        <v>94944.916429299992</v>
      </c>
    </row>
    <row r="4" spans="1:5" x14ac:dyDescent="0.25">
      <c r="D4" s="1" t="s">
        <v>296</v>
      </c>
      <c r="E4" s="1" t="s">
        <v>526</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
  <sheetViews>
    <sheetView workbookViewId="0">
      <selection activeCell="G4" sqref="G4"/>
    </sheetView>
  </sheetViews>
  <sheetFormatPr defaultRowHeight="15" x14ac:dyDescent="0.25"/>
  <cols>
    <col min="2" max="2" width="19.28515625" bestFit="1" customWidth="1"/>
    <col min="3" max="3" width="14.85546875" bestFit="1" customWidth="1"/>
    <col min="7" max="7" width="15.42578125" bestFit="1" customWidth="1"/>
  </cols>
  <sheetData>
    <row r="1" spans="1:7" x14ac:dyDescent="0.25">
      <c r="A1" s="1" t="s">
        <v>118</v>
      </c>
      <c r="B1" s="1" t="s">
        <v>0</v>
      </c>
      <c r="C1" s="1" t="s">
        <v>160</v>
      </c>
      <c r="D1" s="1" t="s">
        <v>300</v>
      </c>
      <c r="E1" s="1" t="s">
        <v>258</v>
      </c>
      <c r="F1" s="1" t="s">
        <v>301</v>
      </c>
      <c r="G1" s="4" t="s">
        <v>524</v>
      </c>
    </row>
    <row r="2" spans="1:7" x14ac:dyDescent="0.25">
      <c r="A2" s="1">
        <v>1</v>
      </c>
      <c r="B2" s="1" t="s">
        <v>26</v>
      </c>
      <c r="C2" s="1" t="s">
        <v>302</v>
      </c>
      <c r="D2" s="1">
        <v>2.5</v>
      </c>
      <c r="E2" s="1">
        <v>300</v>
      </c>
      <c r="F2" s="1">
        <f>E2*D2</f>
        <v>750</v>
      </c>
      <c r="G2" s="1">
        <f>F2*Emission_factor!$C$16</f>
        <v>1980</v>
      </c>
    </row>
    <row r="3" spans="1:7" x14ac:dyDescent="0.25">
      <c r="A3" s="1"/>
      <c r="B3" s="1"/>
      <c r="C3" s="1" t="s">
        <v>303</v>
      </c>
      <c r="D3" s="1">
        <v>2.5</v>
      </c>
      <c r="E3" s="1">
        <v>120</v>
      </c>
      <c r="F3" s="1">
        <f>E3*D3</f>
        <v>300</v>
      </c>
      <c r="G3" s="1">
        <f>F3*Emission_factor!$C$16</f>
        <v>792</v>
      </c>
    </row>
    <row r="4" spans="1:7" x14ac:dyDescent="0.25">
      <c r="A4" s="1"/>
      <c r="B4" s="1"/>
      <c r="C4" s="1"/>
      <c r="D4" s="1"/>
      <c r="E4" s="1" t="s">
        <v>225</v>
      </c>
      <c r="F4" s="1">
        <f>SUM(F2:F3)</f>
        <v>1050</v>
      </c>
      <c r="G4" s="1">
        <f>F4*Emission_factor!$C$16</f>
        <v>2772</v>
      </c>
    </row>
    <row r="5" spans="1:7" x14ac:dyDescent="0.25">
      <c r="F5" t="s">
        <v>289</v>
      </c>
      <c r="G5" t="s">
        <v>526</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
  <sheetViews>
    <sheetView workbookViewId="0">
      <selection activeCell="F6" sqref="F6"/>
    </sheetView>
  </sheetViews>
  <sheetFormatPr defaultRowHeight="15" x14ac:dyDescent="0.25"/>
  <cols>
    <col min="2" max="2" width="15.140625" bestFit="1" customWidth="1"/>
    <col min="3" max="3" width="10.28515625" bestFit="1" customWidth="1"/>
    <col min="4" max="4" width="12" bestFit="1" customWidth="1"/>
    <col min="5" max="5" width="12.28515625" bestFit="1" customWidth="1"/>
    <col min="6" max="6" width="15.42578125" bestFit="1" customWidth="1"/>
  </cols>
  <sheetData>
    <row r="1" spans="1:6" x14ac:dyDescent="0.25">
      <c r="A1" s="1" t="s">
        <v>279</v>
      </c>
      <c r="B1" s="1" t="s">
        <v>0</v>
      </c>
      <c r="C1" s="1" t="s">
        <v>160</v>
      </c>
      <c r="D1" s="53" t="s">
        <v>297</v>
      </c>
      <c r="E1" s="1" t="s">
        <v>292</v>
      </c>
      <c r="F1" s="4" t="s">
        <v>524</v>
      </c>
    </row>
    <row r="2" spans="1:6" x14ac:dyDescent="0.25">
      <c r="A2" s="1">
        <v>1</v>
      </c>
      <c r="B2" s="1" t="s">
        <v>30</v>
      </c>
      <c r="C2" s="1" t="s">
        <v>290</v>
      </c>
      <c r="D2" s="53" t="s">
        <v>298</v>
      </c>
      <c r="E2" s="1">
        <v>1800</v>
      </c>
      <c r="F2" s="1">
        <f>E2*Emission_factor!$C$17</f>
        <v>4464</v>
      </c>
    </row>
    <row r="3" spans="1:6" x14ac:dyDescent="0.25">
      <c r="A3" s="1">
        <v>2</v>
      </c>
      <c r="B3" s="1" t="s">
        <v>30</v>
      </c>
      <c r="C3" s="1" t="s">
        <v>291</v>
      </c>
      <c r="D3" s="53" t="s">
        <v>298</v>
      </c>
      <c r="E3" s="1">
        <v>900</v>
      </c>
      <c r="F3" s="1">
        <f>E3*Emission_factor!$C$17</f>
        <v>2232</v>
      </c>
    </row>
    <row r="4" spans="1:6" x14ac:dyDescent="0.25">
      <c r="A4" s="1">
        <v>3</v>
      </c>
      <c r="B4" s="1" t="s">
        <v>30</v>
      </c>
      <c r="C4" s="1" t="s">
        <v>290</v>
      </c>
      <c r="D4" s="53" t="s">
        <v>299</v>
      </c>
      <c r="E4" s="1">
        <v>50947</v>
      </c>
      <c r="F4" s="1">
        <f>E4*Emission_factor!$C$17</f>
        <v>126348.56</v>
      </c>
    </row>
    <row r="5" spans="1:6" x14ac:dyDescent="0.25">
      <c r="A5" s="1">
        <v>4</v>
      </c>
      <c r="B5" s="1" t="s">
        <v>30</v>
      </c>
      <c r="C5" s="1" t="s">
        <v>291</v>
      </c>
      <c r="D5" s="53" t="s">
        <v>299</v>
      </c>
      <c r="E5" s="1">
        <v>3968</v>
      </c>
      <c r="F5" s="1">
        <f>E5*Emission_factor!$C$17</f>
        <v>9840.64</v>
      </c>
    </row>
    <row r="6" spans="1:6" x14ac:dyDescent="0.25">
      <c r="C6" t="s">
        <v>225</v>
      </c>
      <c r="E6" s="1">
        <v>57615</v>
      </c>
      <c r="F6" s="1">
        <f>E6*Emission_factor!$C$17</f>
        <v>142885.20000000001</v>
      </c>
    </row>
    <row r="7" spans="1:6" x14ac:dyDescent="0.25">
      <c r="E7" t="s">
        <v>531</v>
      </c>
      <c r="F7" t="s">
        <v>526</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
  <sheetViews>
    <sheetView workbookViewId="0">
      <selection activeCell="G4" sqref="G4"/>
    </sheetView>
  </sheetViews>
  <sheetFormatPr defaultRowHeight="15" x14ac:dyDescent="0.25"/>
  <cols>
    <col min="2" max="2" width="19.42578125" bestFit="1" customWidth="1"/>
    <col min="4" max="4" width="13.5703125" bestFit="1" customWidth="1"/>
    <col min="7" max="7" width="15.42578125" bestFit="1" customWidth="1"/>
  </cols>
  <sheetData>
    <row r="1" spans="1:7" x14ac:dyDescent="0.25">
      <c r="A1" s="1" t="s">
        <v>118</v>
      </c>
      <c r="B1" s="1" t="s">
        <v>0</v>
      </c>
      <c r="C1" s="1" t="s">
        <v>304</v>
      </c>
      <c r="D1" s="1" t="s">
        <v>305</v>
      </c>
      <c r="E1" s="1" t="s">
        <v>306</v>
      </c>
      <c r="F1" s="1" t="s">
        <v>301</v>
      </c>
      <c r="G1" s="4" t="s">
        <v>524</v>
      </c>
    </row>
    <row r="2" spans="1:7" x14ac:dyDescent="0.25">
      <c r="A2" s="1">
        <v>1</v>
      </c>
      <c r="B2" s="7" t="s">
        <v>32</v>
      </c>
      <c r="C2" s="1" t="s">
        <v>307</v>
      </c>
      <c r="D2" s="1">
        <v>916</v>
      </c>
      <c r="E2" s="1">
        <f>F2/D2</f>
        <v>2.8000000000000003</v>
      </c>
      <c r="F2" s="1">
        <v>2564.8000000000002</v>
      </c>
      <c r="G2" s="1">
        <f>F2*Emission_factor!$C$18</f>
        <v>20082.384000000002</v>
      </c>
    </row>
    <row r="3" spans="1:7" x14ac:dyDescent="0.25">
      <c r="A3" s="1">
        <v>2</v>
      </c>
      <c r="B3" s="7" t="s">
        <v>32</v>
      </c>
      <c r="C3" s="1" t="s">
        <v>308</v>
      </c>
      <c r="D3" s="1">
        <v>321</v>
      </c>
      <c r="E3" s="1">
        <f>F3/D3</f>
        <v>2.6056074766355137</v>
      </c>
      <c r="F3" s="1">
        <v>836.4</v>
      </c>
      <c r="G3" s="1">
        <f>F3*Emission_factor!$C$18</f>
        <v>6549.0119999999997</v>
      </c>
    </row>
    <row r="4" spans="1:7" x14ac:dyDescent="0.25">
      <c r="A4" s="1"/>
      <c r="B4" s="1"/>
      <c r="C4" s="1"/>
      <c r="D4" s="1"/>
      <c r="E4" s="1" t="s">
        <v>225</v>
      </c>
      <c r="F4" s="1">
        <f>SUM(F2:F3)</f>
        <v>3401.2000000000003</v>
      </c>
      <c r="G4" s="1">
        <f>F4*Emission_factor!$C$18</f>
        <v>26631.396000000001</v>
      </c>
    </row>
    <row r="5" spans="1:7" x14ac:dyDescent="0.25">
      <c r="F5" t="s">
        <v>289</v>
      </c>
      <c r="G5" t="s">
        <v>526</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
  <sheetViews>
    <sheetView workbookViewId="0">
      <selection activeCell="G2" sqref="G2"/>
    </sheetView>
  </sheetViews>
  <sheetFormatPr defaultRowHeight="15" x14ac:dyDescent="0.25"/>
  <cols>
    <col min="2" max="2" width="21.5703125" bestFit="1" customWidth="1"/>
    <col min="6" max="6" width="12.5703125" bestFit="1" customWidth="1"/>
    <col min="7" max="7" width="14.5703125" bestFit="1" customWidth="1"/>
  </cols>
  <sheetData>
    <row r="1" spans="1:7" x14ac:dyDescent="0.25">
      <c r="A1" s="1" t="s">
        <v>309</v>
      </c>
      <c r="B1" s="1" t="s">
        <v>0</v>
      </c>
      <c r="C1" s="1" t="s">
        <v>160</v>
      </c>
      <c r="D1" s="1" t="s">
        <v>258</v>
      </c>
      <c r="E1" s="1" t="s">
        <v>300</v>
      </c>
      <c r="F1" s="1" t="s">
        <v>311</v>
      </c>
      <c r="G1" s="4" t="s">
        <v>522</v>
      </c>
    </row>
    <row r="2" spans="1:7" x14ac:dyDescent="0.25">
      <c r="A2" s="1">
        <v>1</v>
      </c>
      <c r="B2" s="1" t="s">
        <v>37</v>
      </c>
      <c r="C2" s="1" t="s">
        <v>310</v>
      </c>
      <c r="D2" s="1">
        <v>511</v>
      </c>
      <c r="E2" s="1">
        <v>62</v>
      </c>
      <c r="F2" s="1">
        <f>511*62</f>
        <v>31682</v>
      </c>
      <c r="G2" s="1">
        <f>F2*Emission_factor!C21</f>
        <v>88075.959999999992</v>
      </c>
    </row>
    <row r="3" spans="1:7" x14ac:dyDescent="0.25">
      <c r="F3" t="s">
        <v>144</v>
      </c>
      <c r="G3" t="s">
        <v>526</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M29" sqref="M29"/>
    </sheetView>
  </sheetViews>
  <sheetFormatPr defaultRowHeight="15" x14ac:dyDescent="0.25"/>
  <sheetData>
    <row r="1" spans="1:1" x14ac:dyDescent="0.25">
      <c r="A1" s="19"/>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
  <sheetViews>
    <sheetView workbookViewId="0">
      <selection activeCell="G23" sqref="G23"/>
    </sheetView>
  </sheetViews>
  <sheetFormatPr defaultRowHeight="15" x14ac:dyDescent="0.25"/>
  <cols>
    <col min="2" max="2" width="15.28515625" bestFit="1" customWidth="1"/>
    <col min="3" max="3" width="12.140625" bestFit="1" customWidth="1"/>
    <col min="4" max="4" width="13.140625" bestFit="1" customWidth="1"/>
    <col min="7" max="7" width="17.5703125" bestFit="1" customWidth="1"/>
    <col min="9" max="9" width="15.42578125" bestFit="1" customWidth="1"/>
  </cols>
  <sheetData>
    <row r="1" spans="1:9" x14ac:dyDescent="0.25">
      <c r="A1" s="1" t="s">
        <v>118</v>
      </c>
      <c r="B1" s="1" t="s">
        <v>0</v>
      </c>
      <c r="C1" s="1" t="s">
        <v>315</v>
      </c>
      <c r="D1" s="1" t="s">
        <v>316</v>
      </c>
      <c r="E1" s="1" t="s">
        <v>258</v>
      </c>
      <c r="F1" s="1" t="s">
        <v>161</v>
      </c>
      <c r="G1" s="1" t="s">
        <v>318</v>
      </c>
      <c r="H1" s="53" t="s">
        <v>319</v>
      </c>
      <c r="I1" s="4" t="s">
        <v>524</v>
      </c>
    </row>
    <row r="2" spans="1:9" x14ac:dyDescent="0.25">
      <c r="A2" s="1">
        <v>1</v>
      </c>
      <c r="B2" s="1" t="s">
        <v>40</v>
      </c>
      <c r="C2" s="1">
        <v>12</v>
      </c>
      <c r="D2" s="1">
        <v>150</v>
      </c>
      <c r="E2" s="1">
        <v>12</v>
      </c>
      <c r="F2" s="1" t="s">
        <v>317</v>
      </c>
      <c r="G2" s="1">
        <v>1.8</v>
      </c>
      <c r="H2" s="53">
        <f>G2*E2</f>
        <v>21.6</v>
      </c>
      <c r="I2" s="1">
        <f>H2*Emission_factor!C23</f>
        <v>43.2</v>
      </c>
    </row>
    <row r="3" spans="1:9" x14ac:dyDescent="0.25">
      <c r="H3" t="s">
        <v>296</v>
      </c>
      <c r="I3" s="1" t="s">
        <v>526</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
  <sheetViews>
    <sheetView workbookViewId="0">
      <selection activeCell="E5" sqref="E5"/>
    </sheetView>
  </sheetViews>
  <sheetFormatPr defaultRowHeight="15" x14ac:dyDescent="0.25"/>
  <cols>
    <col min="2" max="2" width="16.140625" bestFit="1" customWidth="1"/>
    <col min="3" max="3" width="11" bestFit="1" customWidth="1"/>
    <col min="4" max="4" width="23.42578125" bestFit="1" customWidth="1"/>
  </cols>
  <sheetData>
    <row r="1" spans="1:5" x14ac:dyDescent="0.25">
      <c r="A1" s="1" t="s">
        <v>118</v>
      </c>
      <c r="B1" s="1" t="s">
        <v>0</v>
      </c>
      <c r="C1" s="1" t="s">
        <v>160</v>
      </c>
      <c r="D1" s="1" t="s">
        <v>320</v>
      </c>
      <c r="E1" s="1" t="s">
        <v>321</v>
      </c>
    </row>
    <row r="2" spans="1:5" x14ac:dyDescent="0.25">
      <c r="A2" s="1">
        <v>1</v>
      </c>
      <c r="B2" s="1" t="s">
        <v>42</v>
      </c>
      <c r="C2" s="1" t="s">
        <v>322</v>
      </c>
      <c r="D2" s="1" t="s">
        <v>324</v>
      </c>
      <c r="E2" s="1">
        <v>1000</v>
      </c>
    </row>
    <row r="3" spans="1:5" x14ac:dyDescent="0.25">
      <c r="A3" s="1">
        <v>2</v>
      </c>
      <c r="B3" s="1" t="s">
        <v>42</v>
      </c>
      <c r="C3" s="1" t="s">
        <v>323</v>
      </c>
      <c r="D3" s="1" t="s">
        <v>324</v>
      </c>
      <c r="E3" s="1">
        <v>500</v>
      </c>
    </row>
    <row r="4" spans="1:5" x14ac:dyDescent="0.25">
      <c r="A4" s="1"/>
      <c r="B4" s="1"/>
      <c r="C4" s="1"/>
      <c r="D4" s="1"/>
      <c r="E4" s="1">
        <f>SUM(E2:E3)</f>
        <v>1500</v>
      </c>
    </row>
    <row r="5" spans="1:5" x14ac:dyDescent="0.25">
      <c r="E5" t="s">
        <v>289</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
  <sheetViews>
    <sheetView workbookViewId="0">
      <selection activeCell="L3" sqref="L3"/>
    </sheetView>
  </sheetViews>
  <sheetFormatPr defaultRowHeight="15" x14ac:dyDescent="0.25"/>
  <cols>
    <col min="2" max="2" width="13.140625" bestFit="1" customWidth="1"/>
    <col min="4" max="4" width="17.5703125" bestFit="1" customWidth="1"/>
    <col min="5" max="5" width="13.85546875" bestFit="1" customWidth="1"/>
    <col min="6" max="6" width="13.85546875" customWidth="1"/>
    <col min="7" max="7" width="13.140625" bestFit="1" customWidth="1"/>
    <col min="8" max="8" width="13.140625" customWidth="1"/>
    <col min="9" max="9" width="15.7109375" bestFit="1" customWidth="1"/>
    <col min="10" max="10" width="14.5703125" bestFit="1" customWidth="1"/>
  </cols>
  <sheetData>
    <row r="1" spans="1:12" x14ac:dyDescent="0.25">
      <c r="A1" s="1" t="s">
        <v>279</v>
      </c>
      <c r="B1" s="1" t="s">
        <v>0</v>
      </c>
      <c r="C1" s="1" t="s">
        <v>160</v>
      </c>
      <c r="D1" s="1" t="s">
        <v>536</v>
      </c>
      <c r="E1" s="1" t="s">
        <v>326</v>
      </c>
      <c r="F1" s="1" t="s">
        <v>539</v>
      </c>
      <c r="G1" s="1" t="s">
        <v>538</v>
      </c>
      <c r="H1" s="1" t="s">
        <v>534</v>
      </c>
      <c r="I1" s="1" t="s">
        <v>535</v>
      </c>
      <c r="J1" s="4" t="s">
        <v>522</v>
      </c>
    </row>
    <row r="2" spans="1:12" x14ac:dyDescent="0.25">
      <c r="A2" s="2">
        <v>1</v>
      </c>
      <c r="B2" s="2" t="s">
        <v>20</v>
      </c>
      <c r="C2" s="2" t="s">
        <v>327</v>
      </c>
      <c r="D2" s="2">
        <v>50</v>
      </c>
      <c r="E2" s="2">
        <v>48</v>
      </c>
      <c r="F2" s="2">
        <f>D2*E2</f>
        <v>2400</v>
      </c>
      <c r="G2" s="2">
        <v>9.9</v>
      </c>
      <c r="H2" s="2">
        <f>1.092*G2</f>
        <v>10.8108</v>
      </c>
      <c r="I2" s="2">
        <f>E2*H2</f>
        <v>518.91840000000002</v>
      </c>
      <c r="J2" s="2">
        <f>(I2*Emission_factor!C25)+(Emission_factor!C51*F2)</f>
        <v>5756.1064320000005</v>
      </c>
      <c r="K2" t="s">
        <v>537</v>
      </c>
      <c r="L2" t="s">
        <v>647</v>
      </c>
    </row>
    <row r="3" spans="1:12" x14ac:dyDescent="0.25">
      <c r="A3" s="2">
        <v>2</v>
      </c>
      <c r="B3" s="2" t="s">
        <v>20</v>
      </c>
      <c r="C3" s="2" t="s">
        <v>328</v>
      </c>
      <c r="D3" s="2">
        <v>50</v>
      </c>
      <c r="E3" s="2">
        <v>48</v>
      </c>
      <c r="F3" s="2">
        <f>D3*E3</f>
        <v>2400</v>
      </c>
      <c r="G3" s="2">
        <v>11</v>
      </c>
      <c r="H3" s="2">
        <f>1.429*G3</f>
        <v>15.719000000000001</v>
      </c>
      <c r="I3" s="2">
        <f>E3*H3</f>
        <v>754.51200000000006</v>
      </c>
      <c r="J3" s="2">
        <f>(I3*Emission_factor!C52)+(OXY_ACE_PROD_EM!F3*Emission_factor!C51)</f>
        <v>4258.064832</v>
      </c>
    </row>
    <row r="4" spans="1:12" x14ac:dyDescent="0.25">
      <c r="I4" s="1" t="s">
        <v>225</v>
      </c>
      <c r="J4" s="1">
        <f>J2+J3</f>
        <v>10014.171264000001</v>
      </c>
    </row>
    <row r="5" spans="1:12" x14ac:dyDescent="0.25">
      <c r="J5" t="s">
        <v>525</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
  <sheetViews>
    <sheetView workbookViewId="0">
      <selection activeCell="G3" sqref="G3"/>
    </sheetView>
  </sheetViews>
  <sheetFormatPr defaultRowHeight="15" x14ac:dyDescent="0.25"/>
  <cols>
    <col min="2" max="2" width="20.5703125" bestFit="1" customWidth="1"/>
    <col min="5" max="5" width="12" bestFit="1" customWidth="1"/>
    <col min="6" max="6" width="12.85546875" bestFit="1" customWidth="1"/>
  </cols>
  <sheetData>
    <row r="1" spans="1:7" x14ac:dyDescent="0.25">
      <c r="A1" s="1" t="s">
        <v>118</v>
      </c>
      <c r="B1" s="1" t="s">
        <v>0</v>
      </c>
      <c r="C1" s="1" t="s">
        <v>160</v>
      </c>
      <c r="D1" s="1" t="s">
        <v>258</v>
      </c>
      <c r="E1" s="1" t="s">
        <v>330</v>
      </c>
      <c r="F1" s="1" t="s">
        <v>331</v>
      </c>
    </row>
    <row r="2" spans="1:7" x14ac:dyDescent="0.25">
      <c r="A2" s="2">
        <v>1</v>
      </c>
      <c r="B2" s="2" t="s">
        <v>45</v>
      </c>
      <c r="C2" s="2" t="s">
        <v>332</v>
      </c>
      <c r="D2" s="2">
        <v>5000</v>
      </c>
      <c r="E2" s="2">
        <v>22.7</v>
      </c>
      <c r="F2" s="2">
        <f>(E2*D2)/1000</f>
        <v>113.5</v>
      </c>
      <c r="G2" t="s">
        <v>647</v>
      </c>
    </row>
    <row r="3" spans="1:7" x14ac:dyDescent="0.25">
      <c r="F3" t="s">
        <v>289</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
  <sheetViews>
    <sheetView workbookViewId="0">
      <selection activeCell="J4" sqref="J4"/>
    </sheetView>
  </sheetViews>
  <sheetFormatPr defaultRowHeight="15" x14ac:dyDescent="0.25"/>
  <cols>
    <col min="2" max="2" width="16.7109375" bestFit="1" customWidth="1"/>
    <col min="7" max="7" width="11.85546875" bestFit="1" customWidth="1"/>
    <col min="8" max="8" width="15.42578125" bestFit="1" customWidth="1"/>
  </cols>
  <sheetData>
    <row r="1" spans="1:9" x14ac:dyDescent="0.25">
      <c r="A1" s="1" t="s">
        <v>118</v>
      </c>
      <c r="B1" s="1" t="s">
        <v>0</v>
      </c>
      <c r="C1" s="1" t="s">
        <v>160</v>
      </c>
      <c r="D1" s="1" t="s">
        <v>258</v>
      </c>
      <c r="E1" s="1" t="s">
        <v>336</v>
      </c>
      <c r="F1" s="1" t="s">
        <v>337</v>
      </c>
      <c r="G1" s="4" t="s">
        <v>338</v>
      </c>
      <c r="H1" s="4" t="s">
        <v>524</v>
      </c>
    </row>
    <row r="2" spans="1:9" x14ac:dyDescent="0.25">
      <c r="A2" s="1"/>
      <c r="B2" s="7" t="s">
        <v>48</v>
      </c>
      <c r="C2" s="1" t="s">
        <v>335</v>
      </c>
      <c r="D2" s="1">
        <v>150</v>
      </c>
      <c r="E2" s="1">
        <v>6</v>
      </c>
      <c r="F2" s="1">
        <v>6</v>
      </c>
      <c r="G2" s="1">
        <f>D2*F2</f>
        <v>900</v>
      </c>
      <c r="H2" s="1">
        <f>G2*Emission_factor!C27</f>
        <v>6900.3</v>
      </c>
      <c r="I2" t="s">
        <v>648</v>
      </c>
    </row>
    <row r="3" spans="1:9" x14ac:dyDescent="0.25">
      <c r="A3" s="1"/>
      <c r="B3" s="1"/>
      <c r="C3" s="1"/>
      <c r="D3" s="1"/>
      <c r="E3" s="1"/>
      <c r="F3" s="1"/>
      <c r="G3" s="1" t="s">
        <v>339</v>
      </c>
      <c r="H3" s="1" t="s">
        <v>526</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
  <sheetViews>
    <sheetView workbookViewId="0">
      <selection activeCell="I23" sqref="I23"/>
    </sheetView>
  </sheetViews>
  <sheetFormatPr defaultRowHeight="15" x14ac:dyDescent="0.25"/>
  <cols>
    <col min="2" max="2" width="14.140625" bestFit="1" customWidth="1"/>
    <col min="4" max="4" width="10.85546875" bestFit="1" customWidth="1"/>
    <col min="6" max="6" width="11.7109375" bestFit="1" customWidth="1"/>
    <col min="7" max="7" width="17.85546875" bestFit="1" customWidth="1"/>
    <col min="8" max="8" width="15.140625" bestFit="1" customWidth="1"/>
    <col min="9" max="9" width="14" bestFit="1" customWidth="1"/>
    <col min="10" max="10" width="14.5703125" bestFit="1" customWidth="1"/>
  </cols>
  <sheetData>
    <row r="1" spans="1:10" x14ac:dyDescent="0.25">
      <c r="A1" s="1" t="s">
        <v>118</v>
      </c>
      <c r="B1" s="1" t="s">
        <v>0</v>
      </c>
      <c r="C1" s="1" t="s">
        <v>123</v>
      </c>
      <c r="D1" s="1" t="s">
        <v>124</v>
      </c>
      <c r="E1" s="1" t="s">
        <v>140</v>
      </c>
      <c r="F1" s="1" t="s">
        <v>141</v>
      </c>
      <c r="G1" s="1" t="s">
        <v>542</v>
      </c>
      <c r="H1" s="1" t="s">
        <v>142</v>
      </c>
      <c r="I1" s="4" t="s">
        <v>543</v>
      </c>
      <c r="J1" s="1" t="s">
        <v>522</v>
      </c>
    </row>
    <row r="2" spans="1:10" x14ac:dyDescent="0.25">
      <c r="A2" s="1">
        <v>1</v>
      </c>
      <c r="B2" s="1" t="s">
        <v>28</v>
      </c>
      <c r="C2" s="1">
        <v>2023</v>
      </c>
      <c r="D2" s="1" t="s">
        <v>125</v>
      </c>
      <c r="E2" s="1">
        <v>0</v>
      </c>
      <c r="F2" s="1">
        <v>4.2</v>
      </c>
      <c r="G2" s="1">
        <v>19.2</v>
      </c>
      <c r="H2" s="1">
        <v>0</v>
      </c>
      <c r="I2" s="1">
        <f>G2*E2</f>
        <v>0</v>
      </c>
      <c r="J2" s="1">
        <f>I2*Emission_factor!$C$29</f>
        <v>0</v>
      </c>
    </row>
    <row r="3" spans="1:10" x14ac:dyDescent="0.25">
      <c r="A3" s="1">
        <v>2</v>
      </c>
      <c r="B3" s="1" t="s">
        <v>28</v>
      </c>
      <c r="C3" s="1">
        <v>2023</v>
      </c>
      <c r="D3" s="1" t="s">
        <v>137</v>
      </c>
      <c r="E3" s="1">
        <v>6</v>
      </c>
      <c r="F3" s="1">
        <v>4.2</v>
      </c>
      <c r="G3" s="1">
        <v>19.2</v>
      </c>
      <c r="H3" s="1">
        <v>25.200000000000003</v>
      </c>
      <c r="I3" s="1">
        <f t="shared" ref="I3:I13" si="0">G3*E3</f>
        <v>115.19999999999999</v>
      </c>
      <c r="J3" s="1">
        <f>I3*Emission_factor!$C$29</f>
        <v>616.31999999999994</v>
      </c>
    </row>
    <row r="4" spans="1:10" x14ac:dyDescent="0.25">
      <c r="A4" s="1">
        <v>3</v>
      </c>
      <c r="B4" s="1" t="s">
        <v>28</v>
      </c>
      <c r="C4" s="1">
        <v>2023</v>
      </c>
      <c r="D4" s="1" t="s">
        <v>127</v>
      </c>
      <c r="E4" s="1">
        <v>0</v>
      </c>
      <c r="F4" s="1">
        <v>4.2</v>
      </c>
      <c r="G4" s="1">
        <v>19.2</v>
      </c>
      <c r="H4" s="1">
        <v>0</v>
      </c>
      <c r="I4" s="1">
        <f t="shared" si="0"/>
        <v>0</v>
      </c>
      <c r="J4" s="1">
        <f>I4*Emission_factor!$C$29</f>
        <v>0</v>
      </c>
    </row>
    <row r="5" spans="1:10" x14ac:dyDescent="0.25">
      <c r="A5" s="1">
        <v>4</v>
      </c>
      <c r="B5" s="1" t="s">
        <v>28</v>
      </c>
      <c r="C5" s="1">
        <v>2023</v>
      </c>
      <c r="D5" s="1" t="s">
        <v>128</v>
      </c>
      <c r="E5" s="1">
        <v>0</v>
      </c>
      <c r="F5" s="1">
        <v>4.2</v>
      </c>
      <c r="G5" s="1">
        <v>19.2</v>
      </c>
      <c r="H5" s="1">
        <v>0</v>
      </c>
      <c r="I5" s="1">
        <f t="shared" si="0"/>
        <v>0</v>
      </c>
      <c r="J5" s="1">
        <f>I5*Emission_factor!$C$29</f>
        <v>0</v>
      </c>
    </row>
    <row r="6" spans="1:10" x14ac:dyDescent="0.25">
      <c r="A6" s="1">
        <v>5</v>
      </c>
      <c r="B6" s="1" t="s">
        <v>28</v>
      </c>
      <c r="C6" s="1">
        <v>2023</v>
      </c>
      <c r="D6" s="1" t="s">
        <v>129</v>
      </c>
      <c r="E6" s="1">
        <v>0</v>
      </c>
      <c r="F6" s="1">
        <v>4.2</v>
      </c>
      <c r="G6" s="1">
        <v>19.2</v>
      </c>
      <c r="H6" s="1">
        <v>0</v>
      </c>
      <c r="I6" s="1">
        <f t="shared" si="0"/>
        <v>0</v>
      </c>
      <c r="J6" s="1">
        <f>I6*Emission_factor!$C$29</f>
        <v>0</v>
      </c>
    </row>
    <row r="7" spans="1:10" x14ac:dyDescent="0.25">
      <c r="A7" s="1">
        <v>6</v>
      </c>
      <c r="B7" s="1" t="s">
        <v>28</v>
      </c>
      <c r="C7" s="1">
        <v>2023</v>
      </c>
      <c r="D7" s="1" t="s">
        <v>130</v>
      </c>
      <c r="E7" s="1">
        <v>4</v>
      </c>
      <c r="F7" s="1">
        <v>4.2</v>
      </c>
      <c r="G7" s="1">
        <v>19.2</v>
      </c>
      <c r="H7" s="1">
        <v>16.8</v>
      </c>
      <c r="I7" s="1">
        <f t="shared" si="0"/>
        <v>76.8</v>
      </c>
      <c r="J7" s="1">
        <f>I7*Emission_factor!$C$29</f>
        <v>410.87999999999994</v>
      </c>
    </row>
    <row r="8" spans="1:10" x14ac:dyDescent="0.25">
      <c r="A8" s="1">
        <v>7</v>
      </c>
      <c r="B8" s="1" t="s">
        <v>28</v>
      </c>
      <c r="C8" s="1">
        <v>2023</v>
      </c>
      <c r="D8" s="1" t="s">
        <v>131</v>
      </c>
      <c r="E8" s="1">
        <v>5</v>
      </c>
      <c r="F8" s="1">
        <v>4.2</v>
      </c>
      <c r="G8" s="1">
        <v>19.2</v>
      </c>
      <c r="H8" s="1">
        <v>21</v>
      </c>
      <c r="I8" s="1">
        <f t="shared" si="0"/>
        <v>96</v>
      </c>
      <c r="J8" s="1">
        <f>I8*Emission_factor!$C$29</f>
        <v>513.59999999999991</v>
      </c>
    </row>
    <row r="9" spans="1:10" x14ac:dyDescent="0.25">
      <c r="A9" s="1">
        <v>8</v>
      </c>
      <c r="B9" s="1" t="s">
        <v>28</v>
      </c>
      <c r="C9" s="1">
        <v>2023</v>
      </c>
      <c r="D9" s="1" t="s">
        <v>132</v>
      </c>
      <c r="E9" s="1">
        <v>3</v>
      </c>
      <c r="F9" s="1">
        <v>4.2</v>
      </c>
      <c r="G9" s="1">
        <v>19.2</v>
      </c>
      <c r="H9" s="1">
        <v>12.600000000000001</v>
      </c>
      <c r="I9" s="1">
        <f t="shared" si="0"/>
        <v>57.599999999999994</v>
      </c>
      <c r="J9" s="1">
        <f>I9*Emission_factor!$C$29</f>
        <v>308.15999999999997</v>
      </c>
    </row>
    <row r="10" spans="1:10" x14ac:dyDescent="0.25">
      <c r="A10" s="1">
        <v>9</v>
      </c>
      <c r="B10" s="1" t="s">
        <v>28</v>
      </c>
      <c r="C10" s="1">
        <v>2023</v>
      </c>
      <c r="D10" s="1" t="s">
        <v>133</v>
      </c>
      <c r="E10" s="1">
        <v>3</v>
      </c>
      <c r="F10" s="1">
        <v>4.2</v>
      </c>
      <c r="G10" s="1">
        <v>19.2</v>
      </c>
      <c r="H10" s="1">
        <v>12.600000000000001</v>
      </c>
      <c r="I10" s="1">
        <f t="shared" si="0"/>
        <v>57.599999999999994</v>
      </c>
      <c r="J10" s="1">
        <f>I10*Emission_factor!$C$29</f>
        <v>308.15999999999997</v>
      </c>
    </row>
    <row r="11" spans="1:10" x14ac:dyDescent="0.25">
      <c r="A11" s="1">
        <v>10</v>
      </c>
      <c r="B11" s="1" t="s">
        <v>28</v>
      </c>
      <c r="C11" s="1">
        <v>2024</v>
      </c>
      <c r="D11" s="1" t="s">
        <v>134</v>
      </c>
      <c r="E11" s="1">
        <v>4</v>
      </c>
      <c r="F11" s="1">
        <v>4.2</v>
      </c>
      <c r="G11" s="1">
        <v>19.2</v>
      </c>
      <c r="H11" s="1">
        <v>16.8</v>
      </c>
      <c r="I11" s="1">
        <f t="shared" si="0"/>
        <v>76.8</v>
      </c>
      <c r="J11" s="1">
        <f>I11*Emission_factor!$C$29</f>
        <v>410.87999999999994</v>
      </c>
    </row>
    <row r="12" spans="1:10" x14ac:dyDescent="0.25">
      <c r="A12" s="1">
        <v>11</v>
      </c>
      <c r="B12" s="1" t="s">
        <v>28</v>
      </c>
      <c r="C12" s="1">
        <v>2024</v>
      </c>
      <c r="D12" s="1" t="s">
        <v>135</v>
      </c>
      <c r="E12" s="1">
        <v>3</v>
      </c>
      <c r="F12" s="1">
        <v>4.2</v>
      </c>
      <c r="G12" s="1">
        <v>19.2</v>
      </c>
      <c r="H12" s="1">
        <v>12.600000000000001</v>
      </c>
      <c r="I12" s="1">
        <f t="shared" si="0"/>
        <v>57.599999999999994</v>
      </c>
      <c r="J12" s="1">
        <f>I12*Emission_factor!$C$29</f>
        <v>308.15999999999997</v>
      </c>
    </row>
    <row r="13" spans="1:10" x14ac:dyDescent="0.25">
      <c r="A13" s="1">
        <v>12</v>
      </c>
      <c r="B13" s="1" t="s">
        <v>28</v>
      </c>
      <c r="C13" s="1">
        <v>2024</v>
      </c>
      <c r="D13" s="1" t="s">
        <v>136</v>
      </c>
      <c r="E13" s="1">
        <v>1</v>
      </c>
      <c r="F13" s="1">
        <v>4.2</v>
      </c>
      <c r="G13" s="1">
        <v>19.2</v>
      </c>
      <c r="H13" s="1">
        <v>4.2</v>
      </c>
      <c r="I13" s="1">
        <f t="shared" si="0"/>
        <v>19.2</v>
      </c>
      <c r="J13" s="1">
        <f>I13*Emission_factor!$C$29</f>
        <v>102.71999999999998</v>
      </c>
    </row>
    <row r="14" spans="1:10" x14ac:dyDescent="0.25">
      <c r="A14" s="1"/>
      <c r="B14" s="1"/>
      <c r="C14" s="1"/>
      <c r="D14" s="1"/>
      <c r="E14" s="1">
        <v>29</v>
      </c>
      <c r="F14" s="1"/>
      <c r="G14" s="1"/>
      <c r="H14" s="1">
        <v>121.8</v>
      </c>
      <c r="I14" s="1">
        <f>SUM(I2:I13)</f>
        <v>556.80000000000007</v>
      </c>
      <c r="J14" s="1">
        <f>I14*Emission_factor!$C$29</f>
        <v>2978.88</v>
      </c>
    </row>
    <row r="15" spans="1:10" x14ac:dyDescent="0.25">
      <c r="J15" t="s">
        <v>544</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5"/>
  <sheetViews>
    <sheetView workbookViewId="0">
      <selection activeCell="F14" sqref="F14"/>
    </sheetView>
  </sheetViews>
  <sheetFormatPr defaultRowHeight="15" x14ac:dyDescent="0.25"/>
  <cols>
    <col min="2" max="2" width="21" bestFit="1" customWidth="1"/>
    <col min="3" max="3" width="5" bestFit="1" customWidth="1"/>
    <col min="6" max="6" width="13.5703125" bestFit="1" customWidth="1"/>
    <col min="7" max="7" width="14" customWidth="1"/>
  </cols>
  <sheetData>
    <row r="1" spans="1:7" x14ac:dyDescent="0.25">
      <c r="A1" s="1" t="s">
        <v>118</v>
      </c>
      <c r="B1" s="1" t="s">
        <v>0</v>
      </c>
      <c r="C1" s="1" t="s">
        <v>123</v>
      </c>
      <c r="D1" s="1" t="s">
        <v>124</v>
      </c>
      <c r="E1" s="1" t="s">
        <v>340</v>
      </c>
      <c r="F1" s="4" t="s">
        <v>545</v>
      </c>
      <c r="G1" s="4" t="s">
        <v>546</v>
      </c>
    </row>
    <row r="2" spans="1:7" x14ac:dyDescent="0.25">
      <c r="A2" s="1">
        <v>1</v>
      </c>
      <c r="B2" s="7" t="s">
        <v>51</v>
      </c>
      <c r="C2" s="1">
        <v>2023</v>
      </c>
      <c r="D2" s="1" t="s">
        <v>146</v>
      </c>
      <c r="E2" s="1">
        <v>15074</v>
      </c>
      <c r="F2" s="1">
        <f>0.5*E2</f>
        <v>7537</v>
      </c>
      <c r="G2" s="1">
        <f>F2*Emission_factor!$C$30</f>
        <v>39946.1</v>
      </c>
    </row>
    <row r="3" spans="1:7" x14ac:dyDescent="0.25">
      <c r="A3" s="1">
        <v>2</v>
      </c>
      <c r="B3" s="7" t="s">
        <v>51</v>
      </c>
      <c r="C3" s="1">
        <v>2023</v>
      </c>
      <c r="D3" s="1" t="s">
        <v>126</v>
      </c>
      <c r="E3" s="1">
        <v>23166</v>
      </c>
      <c r="F3" s="1">
        <f t="shared" ref="F3:F13" si="0">0.5*E3</f>
        <v>11583</v>
      </c>
      <c r="G3" s="1">
        <f>F3*Emission_factor!$C$30</f>
        <v>61389.9</v>
      </c>
    </row>
    <row r="4" spans="1:7" x14ac:dyDescent="0.25">
      <c r="A4" s="1">
        <v>3</v>
      </c>
      <c r="B4" s="7" t="s">
        <v>51</v>
      </c>
      <c r="C4" s="1">
        <v>2023</v>
      </c>
      <c r="D4" s="1" t="s">
        <v>147</v>
      </c>
      <c r="E4" s="1">
        <v>93456</v>
      </c>
      <c r="F4" s="1">
        <f t="shared" si="0"/>
        <v>46728</v>
      </c>
      <c r="G4" s="1">
        <f>F4*Emission_factor!$C$30</f>
        <v>247658.4</v>
      </c>
    </row>
    <row r="5" spans="1:7" x14ac:dyDescent="0.25">
      <c r="A5" s="1">
        <v>4</v>
      </c>
      <c r="B5" s="7" t="s">
        <v>51</v>
      </c>
      <c r="C5" s="1">
        <v>2023</v>
      </c>
      <c r="D5" s="1" t="s">
        <v>148</v>
      </c>
      <c r="E5" s="1">
        <v>9426</v>
      </c>
      <c r="F5" s="1">
        <f t="shared" si="0"/>
        <v>4713</v>
      </c>
      <c r="G5" s="1">
        <f>F5*Emission_factor!$C$30</f>
        <v>24978.899999999998</v>
      </c>
    </row>
    <row r="6" spans="1:7" x14ac:dyDescent="0.25">
      <c r="A6" s="1">
        <v>5</v>
      </c>
      <c r="B6" s="7" t="s">
        <v>51</v>
      </c>
      <c r="C6" s="1">
        <v>2023</v>
      </c>
      <c r="D6" s="1" t="s">
        <v>149</v>
      </c>
      <c r="E6" s="1">
        <v>2498</v>
      </c>
      <c r="F6" s="1">
        <f t="shared" si="0"/>
        <v>1249</v>
      </c>
      <c r="G6" s="1">
        <f>F6*Emission_factor!$C$30</f>
        <v>6619.7</v>
      </c>
    </row>
    <row r="7" spans="1:7" x14ac:dyDescent="0.25">
      <c r="A7" s="1">
        <v>6</v>
      </c>
      <c r="B7" s="7" t="s">
        <v>51</v>
      </c>
      <c r="C7" s="1">
        <v>2023</v>
      </c>
      <c r="D7" s="1" t="s">
        <v>150</v>
      </c>
      <c r="E7" s="1">
        <v>0</v>
      </c>
      <c r="F7" s="1">
        <f t="shared" si="0"/>
        <v>0</v>
      </c>
      <c r="G7" s="1">
        <f>F7*Emission_factor!$C$30</f>
        <v>0</v>
      </c>
    </row>
    <row r="8" spans="1:7" x14ac:dyDescent="0.25">
      <c r="A8" s="1">
        <v>7</v>
      </c>
      <c r="B8" s="7" t="s">
        <v>51</v>
      </c>
      <c r="C8" s="1">
        <v>2023</v>
      </c>
      <c r="D8" s="1" t="s">
        <v>151</v>
      </c>
      <c r="E8" s="1">
        <v>3474</v>
      </c>
      <c r="F8" s="1">
        <f t="shared" si="0"/>
        <v>1737</v>
      </c>
      <c r="G8" s="1">
        <f>F8*Emission_factor!$C$30</f>
        <v>9206.1</v>
      </c>
    </row>
    <row r="9" spans="1:7" x14ac:dyDescent="0.25">
      <c r="A9" s="1">
        <v>8</v>
      </c>
      <c r="B9" s="7" t="s">
        <v>51</v>
      </c>
      <c r="C9" s="1">
        <v>2023</v>
      </c>
      <c r="D9" s="1" t="s">
        <v>152</v>
      </c>
      <c r="E9" s="1">
        <v>12636</v>
      </c>
      <c r="F9" s="1">
        <f t="shared" si="0"/>
        <v>6318</v>
      </c>
      <c r="G9" s="1">
        <f>F9*Emission_factor!$C$30</f>
        <v>33485.4</v>
      </c>
    </row>
    <row r="10" spans="1:7" x14ac:dyDescent="0.25">
      <c r="A10" s="1">
        <v>9</v>
      </c>
      <c r="B10" s="7" t="s">
        <v>51</v>
      </c>
      <c r="C10" s="1">
        <v>2023</v>
      </c>
      <c r="D10" s="1" t="s">
        <v>153</v>
      </c>
      <c r="E10" s="1">
        <v>22940</v>
      </c>
      <c r="F10" s="1">
        <f t="shared" si="0"/>
        <v>11470</v>
      </c>
      <c r="G10" s="1">
        <f>F10*Emission_factor!$C$30</f>
        <v>60791</v>
      </c>
    </row>
    <row r="11" spans="1:7" x14ac:dyDescent="0.25">
      <c r="A11" s="1">
        <v>10</v>
      </c>
      <c r="B11" s="7" t="s">
        <v>51</v>
      </c>
      <c r="C11" s="1">
        <v>2024</v>
      </c>
      <c r="D11" s="1" t="s">
        <v>154</v>
      </c>
      <c r="E11" s="1">
        <v>50748</v>
      </c>
      <c r="F11" s="1">
        <f t="shared" si="0"/>
        <v>25374</v>
      </c>
      <c r="G11" s="1">
        <f>F11*Emission_factor!$C$30</f>
        <v>134482.19999999998</v>
      </c>
    </row>
    <row r="12" spans="1:7" x14ac:dyDescent="0.25">
      <c r="A12" s="1">
        <v>11</v>
      </c>
      <c r="B12" s="7" t="s">
        <v>51</v>
      </c>
      <c r="C12" s="1">
        <v>2024</v>
      </c>
      <c r="D12" s="1" t="s">
        <v>155</v>
      </c>
      <c r="E12" s="1">
        <v>60794</v>
      </c>
      <c r="F12" s="1">
        <f t="shared" si="0"/>
        <v>30397</v>
      </c>
      <c r="G12" s="1">
        <f>F12*Emission_factor!$C$30</f>
        <v>161104.1</v>
      </c>
    </row>
    <row r="13" spans="1:7" x14ac:dyDescent="0.25">
      <c r="A13" s="1">
        <v>12</v>
      </c>
      <c r="B13" s="7" t="s">
        <v>51</v>
      </c>
      <c r="C13" s="1">
        <v>2024</v>
      </c>
      <c r="D13" s="1" t="s">
        <v>156</v>
      </c>
      <c r="E13" s="1">
        <v>4948</v>
      </c>
      <c r="F13" s="1">
        <f t="shared" si="0"/>
        <v>2474</v>
      </c>
      <c r="G13" s="1">
        <f>F13*Emission_factor!$C$30</f>
        <v>13112.199999999999</v>
      </c>
    </row>
    <row r="14" spans="1:7" x14ac:dyDescent="0.25">
      <c r="A14" s="1"/>
      <c r="B14" s="1"/>
      <c r="C14" s="1"/>
      <c r="D14" s="1" t="s">
        <v>341</v>
      </c>
      <c r="E14" s="1">
        <f>SUM(E2:E13)</f>
        <v>299160</v>
      </c>
      <c r="F14" s="1">
        <f>0.5*E14</f>
        <v>149580</v>
      </c>
      <c r="G14" s="1">
        <f>F14*Emission_factor!$C$30</f>
        <v>792774</v>
      </c>
    </row>
    <row r="15" spans="1:7" x14ac:dyDescent="0.25">
      <c r="G15" t="s">
        <v>526</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5"/>
  <sheetViews>
    <sheetView workbookViewId="0">
      <selection activeCell="G14" sqref="G14"/>
    </sheetView>
  </sheetViews>
  <sheetFormatPr defaultRowHeight="15" x14ac:dyDescent="0.25"/>
  <cols>
    <col min="2" max="2" width="15.7109375" bestFit="1" customWidth="1"/>
    <col min="7" max="7" width="15.42578125" bestFit="1" customWidth="1"/>
  </cols>
  <sheetData>
    <row r="1" spans="1:7" x14ac:dyDescent="0.25">
      <c r="A1" s="1" t="s">
        <v>118</v>
      </c>
      <c r="B1" s="1" t="s">
        <v>0</v>
      </c>
      <c r="C1" s="1" t="s">
        <v>123</v>
      </c>
      <c r="D1" s="1" t="s">
        <v>124</v>
      </c>
      <c r="E1" s="1" t="s">
        <v>340</v>
      </c>
      <c r="F1" s="4" t="s">
        <v>550</v>
      </c>
      <c r="G1" s="4" t="s">
        <v>524</v>
      </c>
    </row>
    <row r="2" spans="1:7" x14ac:dyDescent="0.25">
      <c r="A2" s="1">
        <v>1</v>
      </c>
      <c r="B2" s="1" t="s">
        <v>52</v>
      </c>
      <c r="C2" s="1">
        <v>2023</v>
      </c>
      <c r="D2" s="1" t="s">
        <v>146</v>
      </c>
      <c r="E2" s="1">
        <v>15074</v>
      </c>
      <c r="F2" s="1">
        <f>0.5*E2</f>
        <v>7537</v>
      </c>
      <c r="G2" s="1">
        <f>F2*Emission_factor!$C$31</f>
        <v>19897.68</v>
      </c>
    </row>
    <row r="3" spans="1:7" x14ac:dyDescent="0.25">
      <c r="A3" s="1">
        <v>2</v>
      </c>
      <c r="B3" s="1" t="s">
        <v>52</v>
      </c>
      <c r="C3" s="1">
        <v>2023</v>
      </c>
      <c r="D3" s="1" t="s">
        <v>126</v>
      </c>
      <c r="E3" s="1">
        <v>23166</v>
      </c>
      <c r="F3" s="1">
        <f t="shared" ref="F3:F14" si="0">0.5*E3</f>
        <v>11583</v>
      </c>
      <c r="G3" s="1">
        <f>F3*Emission_factor!$C$31</f>
        <v>30579.120000000003</v>
      </c>
    </row>
    <row r="4" spans="1:7" x14ac:dyDescent="0.25">
      <c r="A4" s="1">
        <v>3</v>
      </c>
      <c r="B4" s="1" t="s">
        <v>52</v>
      </c>
      <c r="C4" s="1">
        <v>2023</v>
      </c>
      <c r="D4" s="1" t="s">
        <v>147</v>
      </c>
      <c r="E4" s="1">
        <v>93456</v>
      </c>
      <c r="F4" s="1">
        <f t="shared" si="0"/>
        <v>46728</v>
      </c>
      <c r="G4" s="1">
        <f>F4*Emission_factor!$C$31</f>
        <v>123361.92000000001</v>
      </c>
    </row>
    <row r="5" spans="1:7" x14ac:dyDescent="0.25">
      <c r="A5" s="1">
        <v>4</v>
      </c>
      <c r="B5" s="1" t="s">
        <v>52</v>
      </c>
      <c r="C5" s="1">
        <v>2023</v>
      </c>
      <c r="D5" s="1" t="s">
        <v>148</v>
      </c>
      <c r="E5" s="1">
        <v>9426</v>
      </c>
      <c r="F5" s="1">
        <f t="shared" si="0"/>
        <v>4713</v>
      </c>
      <c r="G5" s="1">
        <f>F5*Emission_factor!$C$31</f>
        <v>12442.32</v>
      </c>
    </row>
    <row r="6" spans="1:7" x14ac:dyDescent="0.25">
      <c r="A6" s="1">
        <v>5</v>
      </c>
      <c r="B6" s="1" t="s">
        <v>52</v>
      </c>
      <c r="C6" s="1">
        <v>2023</v>
      </c>
      <c r="D6" s="1" t="s">
        <v>149</v>
      </c>
      <c r="E6" s="1">
        <v>2498</v>
      </c>
      <c r="F6" s="1">
        <f t="shared" si="0"/>
        <v>1249</v>
      </c>
      <c r="G6" s="1">
        <f>F6*Emission_factor!$C$31</f>
        <v>3297.36</v>
      </c>
    </row>
    <row r="7" spans="1:7" x14ac:dyDescent="0.25">
      <c r="A7" s="1">
        <v>6</v>
      </c>
      <c r="B7" s="1" t="s">
        <v>52</v>
      </c>
      <c r="C7" s="1">
        <v>2023</v>
      </c>
      <c r="D7" s="1" t="s">
        <v>150</v>
      </c>
      <c r="E7" s="1">
        <v>0</v>
      </c>
      <c r="F7" s="1">
        <f t="shared" si="0"/>
        <v>0</v>
      </c>
      <c r="G7" s="1">
        <f>F7*Emission_factor!$C$31</f>
        <v>0</v>
      </c>
    </row>
    <row r="8" spans="1:7" x14ac:dyDescent="0.25">
      <c r="A8" s="1">
        <v>7</v>
      </c>
      <c r="B8" s="1" t="s">
        <v>52</v>
      </c>
      <c r="C8" s="1">
        <v>2023</v>
      </c>
      <c r="D8" s="1" t="s">
        <v>151</v>
      </c>
      <c r="E8" s="1">
        <v>3474</v>
      </c>
      <c r="F8" s="1">
        <f t="shared" si="0"/>
        <v>1737</v>
      </c>
      <c r="G8" s="1">
        <f>F8*Emission_factor!$C$31</f>
        <v>4585.68</v>
      </c>
    </row>
    <row r="9" spans="1:7" x14ac:dyDescent="0.25">
      <c r="A9" s="1">
        <v>8</v>
      </c>
      <c r="B9" s="1" t="s">
        <v>52</v>
      </c>
      <c r="C9" s="1">
        <v>2023</v>
      </c>
      <c r="D9" s="1" t="s">
        <v>152</v>
      </c>
      <c r="E9" s="1">
        <v>12636</v>
      </c>
      <c r="F9" s="1">
        <f t="shared" si="0"/>
        <v>6318</v>
      </c>
      <c r="G9" s="1">
        <f>F9*Emission_factor!$C$31</f>
        <v>16679.52</v>
      </c>
    </row>
    <row r="10" spans="1:7" x14ac:dyDescent="0.25">
      <c r="A10" s="1">
        <v>9</v>
      </c>
      <c r="B10" s="1" t="s">
        <v>52</v>
      </c>
      <c r="C10" s="1">
        <v>2023</v>
      </c>
      <c r="D10" s="1" t="s">
        <v>153</v>
      </c>
      <c r="E10" s="1">
        <v>22940</v>
      </c>
      <c r="F10" s="1">
        <f t="shared" si="0"/>
        <v>11470</v>
      </c>
      <c r="G10" s="1">
        <f>F10*Emission_factor!$C$31</f>
        <v>30280.800000000003</v>
      </c>
    </row>
    <row r="11" spans="1:7" x14ac:dyDescent="0.25">
      <c r="A11" s="1">
        <v>10</v>
      </c>
      <c r="B11" s="1" t="s">
        <v>52</v>
      </c>
      <c r="C11" s="1">
        <v>2024</v>
      </c>
      <c r="D11" s="1" t="s">
        <v>154</v>
      </c>
      <c r="E11" s="1">
        <v>50748</v>
      </c>
      <c r="F11" s="1">
        <f t="shared" si="0"/>
        <v>25374</v>
      </c>
      <c r="G11" s="1">
        <f>F11*Emission_factor!$C$31</f>
        <v>66987.360000000001</v>
      </c>
    </row>
    <row r="12" spans="1:7" x14ac:dyDescent="0.25">
      <c r="A12" s="1">
        <v>11</v>
      </c>
      <c r="B12" s="1" t="s">
        <v>52</v>
      </c>
      <c r="C12" s="1">
        <v>2024</v>
      </c>
      <c r="D12" s="1" t="s">
        <v>155</v>
      </c>
      <c r="E12" s="1">
        <v>60794</v>
      </c>
      <c r="F12" s="1">
        <f t="shared" si="0"/>
        <v>30397</v>
      </c>
      <c r="G12" s="1">
        <f>F12*Emission_factor!$C$31</f>
        <v>80248.08</v>
      </c>
    </row>
    <row r="13" spans="1:7" x14ac:dyDescent="0.25">
      <c r="A13" s="1">
        <v>12</v>
      </c>
      <c r="B13" s="1" t="s">
        <v>52</v>
      </c>
      <c r="C13" s="1">
        <v>2024</v>
      </c>
      <c r="D13" s="1" t="s">
        <v>156</v>
      </c>
      <c r="E13" s="1">
        <v>4948</v>
      </c>
      <c r="F13" s="1">
        <f t="shared" si="0"/>
        <v>2474</v>
      </c>
      <c r="G13" s="1">
        <f>F13*Emission_factor!$C$31</f>
        <v>6531.3600000000006</v>
      </c>
    </row>
    <row r="14" spans="1:7" x14ac:dyDescent="0.25">
      <c r="A14" s="1"/>
      <c r="B14" s="1"/>
      <c r="C14" s="1"/>
      <c r="D14" s="1" t="s">
        <v>341</v>
      </c>
      <c r="E14" s="1">
        <f>SUM(E2:E13)</f>
        <v>299160</v>
      </c>
      <c r="F14" s="1">
        <f t="shared" si="0"/>
        <v>149580</v>
      </c>
      <c r="G14" s="1">
        <f>F14*Emission_factor!$C$31</f>
        <v>394891.2</v>
      </c>
    </row>
    <row r="15" spans="1:7" x14ac:dyDescent="0.25">
      <c r="G15" t="s">
        <v>526</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
  <sheetViews>
    <sheetView workbookViewId="0">
      <selection activeCell="J22" sqref="J22"/>
    </sheetView>
  </sheetViews>
  <sheetFormatPr defaultRowHeight="15" x14ac:dyDescent="0.25"/>
  <cols>
    <col min="2" max="2" width="14.85546875" bestFit="1" customWidth="1"/>
    <col min="4" max="4" width="18" bestFit="1" customWidth="1"/>
    <col min="5" max="5" width="11" bestFit="1" customWidth="1"/>
    <col min="6" max="6" width="18.7109375" bestFit="1" customWidth="1"/>
    <col min="7" max="7" width="14.5703125" bestFit="1" customWidth="1"/>
  </cols>
  <sheetData>
    <row r="1" spans="1:7" x14ac:dyDescent="0.25">
      <c r="A1" s="1" t="s">
        <v>118</v>
      </c>
      <c r="B1" s="1" t="s">
        <v>0</v>
      </c>
      <c r="C1" s="1" t="s">
        <v>160</v>
      </c>
      <c r="D1" s="1" t="s">
        <v>343</v>
      </c>
      <c r="E1" s="1" t="s">
        <v>344</v>
      </c>
      <c r="F1" s="1" t="s">
        <v>345</v>
      </c>
      <c r="G1" s="4" t="s">
        <v>522</v>
      </c>
    </row>
    <row r="2" spans="1:7" x14ac:dyDescent="0.25">
      <c r="A2" s="1">
        <v>1</v>
      </c>
      <c r="B2" s="1" t="s">
        <v>56</v>
      </c>
      <c r="C2" s="1" t="s">
        <v>342</v>
      </c>
      <c r="D2" s="1">
        <v>530937</v>
      </c>
      <c r="E2" s="1">
        <f>(0.5+2)/2</f>
        <v>1.25</v>
      </c>
      <c r="F2" s="1">
        <f>E2*D2</f>
        <v>663671.25</v>
      </c>
      <c r="G2" s="1">
        <f>F2*Emission_factor!C32</f>
        <v>551411.92173374991</v>
      </c>
    </row>
    <row r="3" spans="1:7" x14ac:dyDescent="0.25">
      <c r="A3" s="1"/>
      <c r="B3" s="1"/>
      <c r="C3" s="1"/>
      <c r="D3" s="1"/>
      <c r="E3" s="1"/>
      <c r="F3" s="1"/>
      <c r="G3" s="1" t="s">
        <v>526</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5"/>
  <sheetViews>
    <sheetView workbookViewId="0">
      <selection activeCell="K30" sqref="K30"/>
    </sheetView>
  </sheetViews>
  <sheetFormatPr defaultRowHeight="15" x14ac:dyDescent="0.25"/>
  <cols>
    <col min="2" max="2" width="20" bestFit="1" customWidth="1"/>
    <col min="3" max="3" width="30.28515625" bestFit="1" customWidth="1"/>
    <col min="4" max="4" width="12" bestFit="1" customWidth="1"/>
    <col min="5" max="5" width="15.5703125" bestFit="1" customWidth="1"/>
    <col min="6" max="6" width="12.5703125" bestFit="1" customWidth="1"/>
    <col min="7" max="8" width="12.5703125" customWidth="1"/>
    <col min="9" max="9" width="15.85546875" bestFit="1" customWidth="1"/>
    <col min="11" max="11" width="15.42578125" bestFit="1" customWidth="1"/>
  </cols>
  <sheetData>
    <row r="1" spans="1:11" x14ac:dyDescent="0.25">
      <c r="A1" s="8" t="s">
        <v>118</v>
      </c>
      <c r="B1" s="8" t="s">
        <v>0</v>
      </c>
      <c r="C1" s="8" t="s">
        <v>359</v>
      </c>
      <c r="D1" s="8" t="s">
        <v>360</v>
      </c>
      <c r="E1" s="8" t="s">
        <v>361</v>
      </c>
      <c r="F1" s="8" t="s">
        <v>362</v>
      </c>
      <c r="G1" s="8" t="s">
        <v>83</v>
      </c>
      <c r="H1" s="8" t="s">
        <v>552</v>
      </c>
      <c r="I1" s="8" t="s">
        <v>551</v>
      </c>
      <c r="J1" s="8" t="s">
        <v>82</v>
      </c>
      <c r="K1" s="64" t="s">
        <v>524</v>
      </c>
    </row>
    <row r="2" spans="1:11" x14ac:dyDescent="0.25">
      <c r="A2" s="8">
        <v>1</v>
      </c>
      <c r="B2" s="8" t="s">
        <v>58</v>
      </c>
      <c r="C2" s="8" t="s">
        <v>347</v>
      </c>
      <c r="D2" s="1">
        <v>435</v>
      </c>
      <c r="E2" s="1">
        <v>8.83</v>
      </c>
      <c r="G2" s="1" t="s">
        <v>289</v>
      </c>
      <c r="H2" s="1"/>
      <c r="I2" s="1">
        <v>17.66</v>
      </c>
      <c r="J2" s="1">
        <v>1.1200000000000001</v>
      </c>
      <c r="K2" s="1">
        <f>J2*I2</f>
        <v>19.779200000000003</v>
      </c>
    </row>
    <row r="3" spans="1:11" x14ac:dyDescent="0.25">
      <c r="A3" s="8">
        <v>2</v>
      </c>
      <c r="B3" s="8" t="s">
        <v>58</v>
      </c>
      <c r="C3" s="8" t="s">
        <v>348</v>
      </c>
      <c r="D3" s="1">
        <v>435</v>
      </c>
      <c r="E3" s="1">
        <v>13.622</v>
      </c>
      <c r="F3" s="1">
        <v>27.244</v>
      </c>
      <c r="G3" s="1" t="s">
        <v>363</v>
      </c>
      <c r="H3" s="1">
        <v>2.7439999999999999E-2</v>
      </c>
      <c r="I3" s="1">
        <f>1.83*H3</f>
        <v>5.0215200000000002E-2</v>
      </c>
      <c r="J3" s="1">
        <v>0.14000000000000001</v>
      </c>
      <c r="K3" s="1">
        <f t="shared" ref="K3:K13" si="0">J3*I3</f>
        <v>7.0301280000000009E-3</v>
      </c>
    </row>
    <row r="4" spans="1:11" x14ac:dyDescent="0.25">
      <c r="A4" s="8">
        <v>3</v>
      </c>
      <c r="B4" s="8" t="s">
        <v>58</v>
      </c>
      <c r="C4" s="8" t="s">
        <v>349</v>
      </c>
      <c r="D4" s="1">
        <v>435</v>
      </c>
      <c r="E4" s="1">
        <v>445</v>
      </c>
      <c r="F4" s="1">
        <v>890</v>
      </c>
      <c r="G4" s="1" t="s">
        <v>364</v>
      </c>
      <c r="H4" s="1"/>
      <c r="I4" s="1">
        <f>F4/1000</f>
        <v>0.89</v>
      </c>
      <c r="J4" s="1">
        <v>0.2</v>
      </c>
      <c r="K4" s="1">
        <f t="shared" si="0"/>
        <v>0.17800000000000002</v>
      </c>
    </row>
    <row r="5" spans="1:11" x14ac:dyDescent="0.25">
      <c r="A5" s="8">
        <v>4</v>
      </c>
      <c r="B5" s="8" t="s">
        <v>58</v>
      </c>
      <c r="C5" s="8" t="s">
        <v>350</v>
      </c>
      <c r="D5" s="1">
        <v>435</v>
      </c>
      <c r="E5" s="1">
        <v>73.304000000000002</v>
      </c>
      <c r="F5" s="1">
        <v>146.608</v>
      </c>
      <c r="G5" s="1" t="s">
        <v>363</v>
      </c>
      <c r="H5" s="1">
        <v>0.14660799999999999</v>
      </c>
      <c r="I5" s="1">
        <f>1.19*H5</f>
        <v>0.17446351999999998</v>
      </c>
      <c r="J5" s="1">
        <v>1.2</v>
      </c>
      <c r="K5" s="1">
        <f t="shared" si="0"/>
        <v>0.20935622399999998</v>
      </c>
    </row>
    <row r="6" spans="1:11" x14ac:dyDescent="0.25">
      <c r="A6" s="8">
        <v>5</v>
      </c>
      <c r="B6" s="8" t="s">
        <v>58</v>
      </c>
      <c r="C6" s="8" t="s">
        <v>351</v>
      </c>
      <c r="D6" s="1">
        <v>435</v>
      </c>
      <c r="E6" s="1">
        <v>6.5469999999999997</v>
      </c>
      <c r="F6" s="1">
        <v>13.093999999999999</v>
      </c>
      <c r="G6" s="1" t="s">
        <v>363</v>
      </c>
      <c r="H6" s="1">
        <f>F6/1000</f>
        <v>1.3094E-2</v>
      </c>
      <c r="I6" s="1">
        <f>1.15*H6</f>
        <v>1.5058099999999998E-2</v>
      </c>
      <c r="J6" s="1">
        <v>2.82</v>
      </c>
      <c r="K6" s="1">
        <f t="shared" si="0"/>
        <v>4.2463841999999995E-2</v>
      </c>
    </row>
    <row r="7" spans="1:11" x14ac:dyDescent="0.25">
      <c r="A7" s="8">
        <v>6</v>
      </c>
      <c r="B7" s="8" t="s">
        <v>58</v>
      </c>
      <c r="C7" s="8" t="s">
        <v>352</v>
      </c>
      <c r="D7" s="1">
        <v>435</v>
      </c>
      <c r="E7" s="1">
        <v>662</v>
      </c>
      <c r="F7" s="1">
        <v>1324</v>
      </c>
      <c r="G7" s="1" t="s">
        <v>364</v>
      </c>
      <c r="H7" s="1"/>
      <c r="I7" s="1">
        <f>F7/1000</f>
        <v>1.3240000000000001</v>
      </c>
      <c r="J7" s="1">
        <v>0.59</v>
      </c>
      <c r="K7" s="1">
        <f t="shared" si="0"/>
        <v>0.78115999999999997</v>
      </c>
    </row>
    <row r="8" spans="1:11" x14ac:dyDescent="0.25">
      <c r="A8" s="8">
        <v>7</v>
      </c>
      <c r="B8" s="8" t="s">
        <v>58</v>
      </c>
      <c r="C8" s="8" t="s">
        <v>353</v>
      </c>
      <c r="D8" s="1">
        <v>435</v>
      </c>
      <c r="E8" s="1">
        <v>6.5570000000000004</v>
      </c>
      <c r="F8" s="1">
        <v>13.114000000000001</v>
      </c>
      <c r="G8" s="1" t="s">
        <v>289</v>
      </c>
      <c r="H8" s="1"/>
      <c r="I8" s="1">
        <v>13.114000000000001</v>
      </c>
      <c r="J8" s="1">
        <v>1.18</v>
      </c>
      <c r="K8" s="1">
        <f t="shared" si="0"/>
        <v>15.47452</v>
      </c>
    </row>
    <row r="9" spans="1:11" x14ac:dyDescent="0.25">
      <c r="A9" s="8">
        <v>8</v>
      </c>
      <c r="B9" s="8" t="s">
        <v>58</v>
      </c>
      <c r="C9" s="8" t="s">
        <v>354</v>
      </c>
      <c r="D9" s="1">
        <v>435</v>
      </c>
      <c r="E9" s="1">
        <v>39.200000000000003</v>
      </c>
      <c r="F9" s="1">
        <v>78.400000000000006</v>
      </c>
      <c r="G9" s="1" t="s">
        <v>363</v>
      </c>
      <c r="H9" s="1">
        <f>F9/1000</f>
        <v>7.8400000000000011E-2</v>
      </c>
      <c r="I9" s="1">
        <f>0.9*H9</f>
        <v>7.0560000000000012E-2</v>
      </c>
      <c r="J9" s="1">
        <v>2.6</v>
      </c>
      <c r="K9" s="1">
        <f t="shared" si="0"/>
        <v>0.18345600000000004</v>
      </c>
    </row>
    <row r="10" spans="1:11" x14ac:dyDescent="0.25">
      <c r="A10" s="8">
        <v>9</v>
      </c>
      <c r="B10" s="8" t="s">
        <v>58</v>
      </c>
      <c r="C10" s="8" t="s">
        <v>355</v>
      </c>
      <c r="D10" s="1">
        <v>435</v>
      </c>
      <c r="E10" s="1">
        <v>5.96</v>
      </c>
      <c r="F10" s="1">
        <v>11.92</v>
      </c>
      <c r="G10" s="1" t="s">
        <v>289</v>
      </c>
      <c r="H10" s="1"/>
      <c r="I10" s="1">
        <v>11.92</v>
      </c>
      <c r="J10" s="1">
        <v>0.77</v>
      </c>
      <c r="K10" s="1">
        <f t="shared" si="0"/>
        <v>9.1783999999999999</v>
      </c>
    </row>
    <row r="11" spans="1:11" x14ac:dyDescent="0.25">
      <c r="A11" s="8">
        <v>10</v>
      </c>
      <c r="B11" s="8" t="s">
        <v>58</v>
      </c>
      <c r="C11" s="8" t="s">
        <v>356</v>
      </c>
      <c r="D11" s="1">
        <v>435</v>
      </c>
      <c r="E11" s="1">
        <v>3060</v>
      </c>
      <c r="F11" s="1">
        <v>6.12</v>
      </c>
      <c r="G11" s="1" t="s">
        <v>363</v>
      </c>
      <c r="H11" s="1">
        <f>F11/1000</f>
        <v>6.1200000000000004E-3</v>
      </c>
      <c r="I11" s="1">
        <f>789 *H11</f>
        <v>4.8286800000000003</v>
      </c>
      <c r="J11" s="1">
        <v>1.24</v>
      </c>
      <c r="K11" s="1">
        <f t="shared" si="0"/>
        <v>5.9875632000000003</v>
      </c>
    </row>
    <row r="12" spans="1:11" x14ac:dyDescent="0.25">
      <c r="A12" s="8">
        <v>11</v>
      </c>
      <c r="B12" s="8" t="s">
        <v>58</v>
      </c>
      <c r="C12" s="8" t="s">
        <v>357</v>
      </c>
      <c r="D12" s="1">
        <v>435</v>
      </c>
      <c r="E12" s="1">
        <v>1356</v>
      </c>
      <c r="F12" s="1">
        <v>2712</v>
      </c>
      <c r="G12" s="1" t="s">
        <v>364</v>
      </c>
      <c r="H12" s="1"/>
      <c r="I12" s="1">
        <f>F12/1000</f>
        <v>2.7120000000000002</v>
      </c>
      <c r="J12" s="1">
        <v>1.2</v>
      </c>
      <c r="K12" s="1">
        <f t="shared" si="0"/>
        <v>3.2544</v>
      </c>
    </row>
    <row r="13" spans="1:11" x14ac:dyDescent="0.25">
      <c r="A13" s="8">
        <v>12</v>
      </c>
      <c r="B13" s="8" t="s">
        <v>58</v>
      </c>
      <c r="C13" s="8" t="s">
        <v>358</v>
      </c>
      <c r="D13" s="1">
        <v>435</v>
      </c>
      <c r="E13" s="1">
        <v>4.3650000000000002</v>
      </c>
      <c r="F13" s="1">
        <v>8.73</v>
      </c>
      <c r="G13" s="1" t="s">
        <v>363</v>
      </c>
      <c r="H13" s="1">
        <f>F13/1000</f>
        <v>8.7299999999999999E-3</v>
      </c>
      <c r="I13" s="1">
        <f>1.51*H13</f>
        <v>1.3182299999999999E-2</v>
      </c>
      <c r="J13" s="1">
        <v>3.18</v>
      </c>
      <c r="K13" s="1">
        <f t="shared" si="0"/>
        <v>4.1919713999999997E-2</v>
      </c>
    </row>
    <row r="14" spans="1:11" x14ac:dyDescent="0.25">
      <c r="A14" s="1"/>
      <c r="B14" s="1"/>
      <c r="C14" s="1"/>
      <c r="D14" s="1"/>
      <c r="E14" s="1"/>
      <c r="F14" s="1"/>
      <c r="G14" s="1" t="s">
        <v>367</v>
      </c>
      <c r="H14" s="1"/>
      <c r="I14" s="1"/>
      <c r="J14" s="1">
        <f>AVERAGE(J2:J13)</f>
        <v>1.3533333333333333</v>
      </c>
      <c r="K14" s="1">
        <f>SUM(K2:K13)</f>
        <v>55.117469108000002</v>
      </c>
    </row>
    <row r="15" spans="1:11" x14ac:dyDescent="0.25">
      <c r="K15" t="s">
        <v>526</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
  <sheetViews>
    <sheetView workbookViewId="0">
      <selection activeCell="E5" sqref="E5"/>
    </sheetView>
  </sheetViews>
  <sheetFormatPr defaultRowHeight="15" x14ac:dyDescent="0.25"/>
  <cols>
    <col min="2" max="2" width="20.28515625" bestFit="1" customWidth="1"/>
    <col min="3" max="3" width="22.5703125" bestFit="1" customWidth="1"/>
    <col min="4" max="4" width="16.85546875" bestFit="1" customWidth="1"/>
    <col min="5" max="5" width="14.5703125" bestFit="1" customWidth="1"/>
  </cols>
  <sheetData>
    <row r="1" spans="1:5" x14ac:dyDescent="0.25">
      <c r="A1" s="1" t="s">
        <v>118</v>
      </c>
      <c r="B1" s="1" t="s">
        <v>0</v>
      </c>
      <c r="C1" s="1" t="s">
        <v>359</v>
      </c>
      <c r="D1" s="1" t="s">
        <v>371</v>
      </c>
      <c r="E1" s="4" t="s">
        <v>522</v>
      </c>
    </row>
    <row r="2" spans="1:5" x14ac:dyDescent="0.25">
      <c r="A2" s="1"/>
      <c r="B2" s="1" t="s">
        <v>59</v>
      </c>
      <c r="C2" s="1" t="s">
        <v>368</v>
      </c>
      <c r="D2" s="1">
        <v>38425</v>
      </c>
      <c r="E2" s="1">
        <f>D2*Emission_factor!C35</f>
        <v>12611.084999999999</v>
      </c>
    </row>
    <row r="3" spans="1:5" x14ac:dyDescent="0.25">
      <c r="A3" s="1"/>
      <c r="B3" s="1" t="s">
        <v>59</v>
      </c>
      <c r="C3" s="1" t="s">
        <v>369</v>
      </c>
      <c r="D3" s="1">
        <v>1350</v>
      </c>
      <c r="E3" s="1">
        <f>D3*Emission_factor!C36</f>
        <v>1512.0000000000002</v>
      </c>
    </row>
    <row r="4" spans="1:5" x14ac:dyDescent="0.25">
      <c r="A4" s="1"/>
      <c r="B4" s="1" t="s">
        <v>59</v>
      </c>
      <c r="C4" s="1" t="s">
        <v>370</v>
      </c>
      <c r="D4" s="1">
        <v>655</v>
      </c>
      <c r="E4" s="1">
        <v>0</v>
      </c>
    </row>
    <row r="5" spans="1:5" x14ac:dyDescent="0.25">
      <c r="A5" s="1"/>
      <c r="B5" s="1"/>
      <c r="C5" s="1"/>
      <c r="D5" s="1"/>
      <c r="E5" s="1">
        <f>SUM(E2:E4)</f>
        <v>14123.084999999999</v>
      </c>
    </row>
    <row r="6" spans="1:5" x14ac:dyDescent="0.25">
      <c r="A6" s="1"/>
      <c r="B6" s="1"/>
      <c r="C6" s="1"/>
      <c r="D6" s="1"/>
      <c r="E6" s="1" t="s">
        <v>526</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
  <sheetViews>
    <sheetView workbookViewId="0">
      <selection activeCell="F3" sqref="F3"/>
    </sheetView>
  </sheetViews>
  <sheetFormatPr defaultRowHeight="15" x14ac:dyDescent="0.25"/>
  <cols>
    <col min="2" max="2" width="14" bestFit="1" customWidth="1"/>
    <col min="7" max="7" width="15.42578125" bestFit="1" customWidth="1"/>
  </cols>
  <sheetData>
    <row r="1" spans="1:7" x14ac:dyDescent="0.25">
      <c r="A1" s="1" t="s">
        <v>118</v>
      </c>
      <c r="B1" s="1" t="s">
        <v>0</v>
      </c>
      <c r="C1" s="1" t="s">
        <v>160</v>
      </c>
      <c r="D1" s="1" t="s">
        <v>258</v>
      </c>
      <c r="E1" s="1" t="s">
        <v>300</v>
      </c>
      <c r="F1" s="1" t="s">
        <v>301</v>
      </c>
      <c r="G1" s="4" t="s">
        <v>524</v>
      </c>
    </row>
    <row r="2" spans="1:7" x14ac:dyDescent="0.25">
      <c r="A2" s="1">
        <v>1</v>
      </c>
      <c r="B2" s="1" t="s">
        <v>62</v>
      </c>
      <c r="C2" s="1" t="s">
        <v>373</v>
      </c>
      <c r="D2" s="1">
        <v>511</v>
      </c>
      <c r="E2" s="1">
        <v>62</v>
      </c>
      <c r="F2" s="1">
        <f>31682/1000</f>
        <v>31.681999999999999</v>
      </c>
      <c r="G2" s="1">
        <f>F2*Emission_factor!C37</f>
        <v>3168.2</v>
      </c>
    </row>
    <row r="3" spans="1:7" x14ac:dyDescent="0.25">
      <c r="A3" s="1">
        <v>2</v>
      </c>
      <c r="B3" s="1" t="s">
        <v>62</v>
      </c>
      <c r="C3" s="1" t="s">
        <v>374</v>
      </c>
      <c r="D3" s="1"/>
      <c r="E3" s="1"/>
      <c r="F3" s="1"/>
      <c r="G3" s="1"/>
    </row>
    <row r="4" spans="1:7" x14ac:dyDescent="0.25">
      <c r="A4" s="1"/>
      <c r="B4" s="1"/>
      <c r="C4" s="1"/>
      <c r="D4" s="1"/>
      <c r="E4" s="1"/>
      <c r="F4" s="1"/>
      <c r="G4" s="1">
        <f>SUM(G2:G3)</f>
        <v>3168.2</v>
      </c>
    </row>
    <row r="5" spans="1:7" x14ac:dyDescent="0.25">
      <c r="G5" t="s">
        <v>526</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
  <sheetViews>
    <sheetView workbookViewId="0">
      <selection activeCell="K21" sqref="K21"/>
    </sheetView>
  </sheetViews>
  <sheetFormatPr defaultRowHeight="15" x14ac:dyDescent="0.25"/>
  <cols>
    <col min="2" max="2" width="14.140625" bestFit="1" customWidth="1"/>
    <col min="3" max="3" width="10.28515625" bestFit="1" customWidth="1"/>
    <col min="4" max="4" width="12" bestFit="1" customWidth="1"/>
    <col min="5" max="5" width="12.28515625" bestFit="1" customWidth="1"/>
    <col min="6" max="6" width="15.42578125" bestFit="1" customWidth="1"/>
  </cols>
  <sheetData>
    <row r="1" spans="1:6" x14ac:dyDescent="0.25">
      <c r="A1" s="1" t="s">
        <v>279</v>
      </c>
      <c r="B1" s="1" t="s">
        <v>0</v>
      </c>
      <c r="C1" s="1" t="s">
        <v>160</v>
      </c>
      <c r="D1" s="1" t="s">
        <v>297</v>
      </c>
      <c r="E1" s="1" t="s">
        <v>292</v>
      </c>
      <c r="F1" s="4" t="s">
        <v>524</v>
      </c>
    </row>
    <row r="2" spans="1:6" x14ac:dyDescent="0.25">
      <c r="A2" s="1">
        <v>1</v>
      </c>
      <c r="B2" s="1" t="s">
        <v>64</v>
      </c>
      <c r="C2" s="1" t="s">
        <v>290</v>
      </c>
      <c r="D2" s="1" t="s">
        <v>298</v>
      </c>
      <c r="E2" s="1">
        <v>1800</v>
      </c>
      <c r="F2" s="1">
        <f>E2*Emission_factor!$C$38</f>
        <v>4752</v>
      </c>
    </row>
    <row r="3" spans="1:6" x14ac:dyDescent="0.25">
      <c r="A3" s="1">
        <v>2</v>
      </c>
      <c r="B3" s="1" t="s">
        <v>64</v>
      </c>
      <c r="C3" s="1" t="s">
        <v>291</v>
      </c>
      <c r="D3" s="1" t="s">
        <v>298</v>
      </c>
      <c r="E3" s="1">
        <v>900</v>
      </c>
      <c r="F3" s="1">
        <f>E3*Emission_factor!$C$38</f>
        <v>2376</v>
      </c>
    </row>
    <row r="4" spans="1:6" x14ac:dyDescent="0.25">
      <c r="A4" s="1">
        <v>3</v>
      </c>
      <c r="B4" s="1" t="s">
        <v>64</v>
      </c>
      <c r="C4" s="1" t="s">
        <v>290</v>
      </c>
      <c r="D4" s="1" t="s">
        <v>299</v>
      </c>
      <c r="E4" s="1">
        <v>50947</v>
      </c>
      <c r="F4" s="1">
        <f>E4*Emission_factor!$C$38</f>
        <v>134500.08000000002</v>
      </c>
    </row>
    <row r="5" spans="1:6" x14ac:dyDescent="0.25">
      <c r="A5" s="1">
        <v>4</v>
      </c>
      <c r="B5" s="1" t="s">
        <v>64</v>
      </c>
      <c r="C5" s="1" t="s">
        <v>291</v>
      </c>
      <c r="D5" s="1" t="s">
        <v>299</v>
      </c>
      <c r="E5" s="1">
        <v>3968</v>
      </c>
      <c r="F5" s="1">
        <f>E5*Emission_factor!$C$38</f>
        <v>10475.52</v>
      </c>
    </row>
    <row r="6" spans="1:6" x14ac:dyDescent="0.25">
      <c r="A6" s="1"/>
      <c r="B6" s="1"/>
      <c r="C6" s="1" t="s">
        <v>225</v>
      </c>
      <c r="D6" s="1"/>
      <c r="E6" s="1">
        <v>57615</v>
      </c>
      <c r="F6" s="1">
        <f>E6*Emission_factor!$C$38</f>
        <v>152103.6</v>
      </c>
    </row>
    <row r="7" spans="1:6" x14ac:dyDescent="0.25">
      <c r="F7" t="s">
        <v>544</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
  <sheetViews>
    <sheetView workbookViewId="0">
      <selection activeCell="C2" sqref="C2"/>
    </sheetView>
  </sheetViews>
  <sheetFormatPr defaultRowHeight="15" x14ac:dyDescent="0.25"/>
  <cols>
    <col min="2" max="2" width="16.85546875" bestFit="1" customWidth="1"/>
    <col min="3" max="3" width="15.42578125" bestFit="1" customWidth="1"/>
  </cols>
  <sheetData>
    <row r="1" spans="1:8" x14ac:dyDescent="0.25">
      <c r="A1" s="26" t="s">
        <v>118</v>
      </c>
      <c r="B1" s="26" t="s">
        <v>0</v>
      </c>
      <c r="C1" s="26" t="s">
        <v>258</v>
      </c>
      <c r="D1" s="87" t="s">
        <v>376</v>
      </c>
      <c r="E1" s="87"/>
      <c r="F1" s="87"/>
      <c r="G1" s="87"/>
    </row>
    <row r="2" spans="1:8" x14ac:dyDescent="0.25">
      <c r="A2" s="1">
        <v>1</v>
      </c>
      <c r="B2" s="1" t="s">
        <v>67</v>
      </c>
      <c r="C2" s="1">
        <v>20209</v>
      </c>
      <c r="D2" s="1">
        <v>2</v>
      </c>
      <c r="E2" s="1">
        <v>5</v>
      </c>
      <c r="F2" s="1">
        <v>10</v>
      </c>
      <c r="G2" s="4">
        <v>20</v>
      </c>
    </row>
    <row r="3" spans="1:8" x14ac:dyDescent="0.25">
      <c r="C3" t="s">
        <v>524</v>
      </c>
      <c r="D3">
        <f>($C$2/4)*Emission_factor!$C$41*(D2)</f>
        <v>343.72140833333333</v>
      </c>
      <c r="E3">
        <f>($C$2/4)*Emission_factor!$C$41*(E2)</f>
        <v>859.30352083333332</v>
      </c>
      <c r="F3">
        <f>($C$2/4)*Emission_factor!$C$41*(F2)</f>
        <v>1718.6070416666666</v>
      </c>
      <c r="G3">
        <f>($C$2/4)*Emission_factor!$C$41*(G2)</f>
        <v>3437.2140833333333</v>
      </c>
      <c r="H3">
        <f>SUM(D3:G3)</f>
        <v>6358.8460541666664</v>
      </c>
    </row>
    <row r="4" spans="1:8" x14ac:dyDescent="0.25">
      <c r="C4" t="s">
        <v>526</v>
      </c>
    </row>
  </sheetData>
  <mergeCells count="1">
    <mergeCell ref="D1:G1"/>
  </mergeCell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
  <sheetViews>
    <sheetView workbookViewId="0">
      <selection activeCell="I3" sqref="I3"/>
    </sheetView>
  </sheetViews>
  <sheetFormatPr defaultRowHeight="15" x14ac:dyDescent="0.25"/>
  <cols>
    <col min="2" max="2" width="16.85546875" bestFit="1" customWidth="1"/>
    <col min="7" max="7" width="19.7109375" bestFit="1" customWidth="1"/>
    <col min="8" max="8" width="19.85546875" bestFit="1" customWidth="1"/>
    <col min="9" max="9" width="13.28515625" customWidth="1"/>
  </cols>
  <sheetData>
    <row r="1" spans="1:9" x14ac:dyDescent="0.25">
      <c r="A1" s="26" t="s">
        <v>118</v>
      </c>
      <c r="B1" s="26" t="s">
        <v>0</v>
      </c>
      <c r="C1" s="1" t="s">
        <v>258</v>
      </c>
      <c r="D1" s="1" t="s">
        <v>377</v>
      </c>
      <c r="E1" s="1" t="s">
        <v>375</v>
      </c>
      <c r="F1" s="1" t="s">
        <v>163</v>
      </c>
      <c r="G1" s="4" t="s">
        <v>556</v>
      </c>
      <c r="H1" s="4" t="s">
        <v>557</v>
      </c>
    </row>
    <row r="2" spans="1:9" x14ac:dyDescent="0.25">
      <c r="A2" s="1">
        <v>1</v>
      </c>
      <c r="B2" s="7" t="s">
        <v>69</v>
      </c>
      <c r="C2" s="1">
        <v>1</v>
      </c>
      <c r="D2" s="1">
        <f>E2/F2</f>
        <v>5646</v>
      </c>
      <c r="E2" s="1">
        <v>33876</v>
      </c>
      <c r="F2" s="1">
        <v>6</v>
      </c>
      <c r="G2" s="1">
        <f>D2*Emission_factor!C7</f>
        <v>15062.963400000001</v>
      </c>
      <c r="H2" s="1">
        <f>E2*Emission_factor!C44*30</f>
        <v>15406.8048</v>
      </c>
      <c r="I2" t="s">
        <v>649</v>
      </c>
    </row>
    <row r="3" spans="1:9" x14ac:dyDescent="0.25">
      <c r="G3" t="s">
        <v>526</v>
      </c>
      <c r="H3" t="s">
        <v>526</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
  <sheetViews>
    <sheetView workbookViewId="0">
      <selection activeCell="G6" sqref="G6"/>
    </sheetView>
  </sheetViews>
  <sheetFormatPr defaultRowHeight="15" x14ac:dyDescent="0.25"/>
  <cols>
    <col min="2" max="2" width="17.5703125" bestFit="1" customWidth="1"/>
    <col min="3" max="3" width="20.42578125" bestFit="1" customWidth="1"/>
    <col min="4" max="4" width="34.42578125" style="31" bestFit="1" customWidth="1"/>
    <col min="7" max="7" width="15.42578125" bestFit="1" customWidth="1"/>
  </cols>
  <sheetData>
    <row r="1" spans="1:7" x14ac:dyDescent="0.25">
      <c r="A1" s="1" t="s">
        <v>379</v>
      </c>
      <c r="B1" s="1" t="s">
        <v>0</v>
      </c>
      <c r="C1" s="1" t="s">
        <v>403</v>
      </c>
      <c r="D1" s="30" t="s">
        <v>401</v>
      </c>
      <c r="E1" s="65" t="s">
        <v>402</v>
      </c>
      <c r="F1" s="65" t="s">
        <v>375</v>
      </c>
      <c r="G1" s="3" t="s">
        <v>524</v>
      </c>
    </row>
    <row r="2" spans="1:7" x14ac:dyDescent="0.25">
      <c r="A2" s="1">
        <v>1</v>
      </c>
      <c r="B2" s="1" t="s">
        <v>70</v>
      </c>
      <c r="C2" s="28" t="s">
        <v>404</v>
      </c>
      <c r="D2" s="28" t="s">
        <v>384</v>
      </c>
      <c r="E2" s="1">
        <v>1</v>
      </c>
      <c r="F2" s="1">
        <f>1813*2</f>
        <v>3626</v>
      </c>
      <c r="G2" s="1">
        <f>F2*E2*Emission_factor!$C$45</f>
        <v>438.74599999999998</v>
      </c>
    </row>
    <row r="3" spans="1:7" x14ac:dyDescent="0.25">
      <c r="A3" s="1">
        <v>2</v>
      </c>
      <c r="B3" s="1" t="s">
        <v>70</v>
      </c>
      <c r="C3" s="28" t="s">
        <v>399</v>
      </c>
      <c r="D3" s="28" t="s">
        <v>400</v>
      </c>
      <c r="E3" s="1">
        <v>1</v>
      </c>
      <c r="F3" s="1">
        <f>2*1562</f>
        <v>3124</v>
      </c>
      <c r="G3" s="1">
        <f>F3*E3*Emission_factor!$C$45</f>
        <v>378.00399999999996</v>
      </c>
    </row>
    <row r="4" spans="1:7" x14ac:dyDescent="0.25">
      <c r="A4" s="1">
        <v>3</v>
      </c>
      <c r="B4" s="1" t="s">
        <v>70</v>
      </c>
      <c r="C4" s="28" t="s">
        <v>399</v>
      </c>
      <c r="D4" s="28" t="s">
        <v>400</v>
      </c>
      <c r="E4" s="1">
        <v>1</v>
      </c>
      <c r="F4" s="1">
        <f t="shared" ref="F4:F5" si="0">2*1562</f>
        <v>3124</v>
      </c>
      <c r="G4" s="1">
        <f>F4*E4*Emission_factor!$C$45</f>
        <v>378.00399999999996</v>
      </c>
    </row>
    <row r="5" spans="1:7" x14ac:dyDescent="0.25">
      <c r="A5" s="1">
        <v>4</v>
      </c>
      <c r="B5" s="1" t="s">
        <v>70</v>
      </c>
      <c r="C5" s="28" t="s">
        <v>399</v>
      </c>
      <c r="D5" s="28" t="s">
        <v>400</v>
      </c>
      <c r="E5" s="1">
        <v>1</v>
      </c>
      <c r="F5" s="1">
        <f t="shared" si="0"/>
        <v>3124</v>
      </c>
      <c r="G5" s="1">
        <f>F5*E5*Emission_factor!$C$45</f>
        <v>378.00399999999996</v>
      </c>
    </row>
    <row r="6" spans="1:7" x14ac:dyDescent="0.25">
      <c r="F6" t="s">
        <v>225</v>
      </c>
      <c r="G6">
        <f>SUM(G2:G5)</f>
        <v>1572.7579999999998</v>
      </c>
    </row>
    <row r="7" spans="1:7" x14ac:dyDescent="0.25">
      <c r="G7" t="s">
        <v>526</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1"/>
  <sheetViews>
    <sheetView workbookViewId="0">
      <selection activeCell="M9" sqref="M9"/>
    </sheetView>
  </sheetViews>
  <sheetFormatPr defaultRowHeight="15" x14ac:dyDescent="0.25"/>
  <cols>
    <col min="2" max="2" width="15.85546875" bestFit="1" customWidth="1"/>
    <col min="3" max="3" width="20.42578125" bestFit="1" customWidth="1"/>
    <col min="4" max="4" width="34.42578125" bestFit="1" customWidth="1"/>
  </cols>
  <sheetData>
    <row r="1" spans="1:8" x14ac:dyDescent="0.25">
      <c r="A1" s="1" t="s">
        <v>118</v>
      </c>
      <c r="B1" s="1" t="s">
        <v>408</v>
      </c>
      <c r="C1" s="1" t="s">
        <v>403</v>
      </c>
      <c r="D1" s="26" t="s">
        <v>401</v>
      </c>
      <c r="E1" s="1" t="s">
        <v>402</v>
      </c>
      <c r="F1" s="1" t="s">
        <v>375</v>
      </c>
      <c r="G1" s="3" t="s">
        <v>559</v>
      </c>
      <c r="H1" s="3" t="s">
        <v>522</v>
      </c>
    </row>
    <row r="2" spans="1:8" x14ac:dyDescent="0.25">
      <c r="A2" s="1">
        <v>1</v>
      </c>
      <c r="B2" s="7" t="s">
        <v>405</v>
      </c>
      <c r="C2" s="27">
        <v>45203</v>
      </c>
      <c r="D2" s="32" t="s">
        <v>409</v>
      </c>
      <c r="E2" s="1">
        <v>1</v>
      </c>
      <c r="F2" s="1">
        <v>84</v>
      </c>
      <c r="G2">
        <f>2*F2</f>
        <v>168</v>
      </c>
      <c r="H2">
        <f>Emission_factor!$C$43*TRANS_LMV_EM!G2</f>
        <v>29.876727272727276</v>
      </c>
    </row>
    <row r="3" spans="1:8" x14ac:dyDescent="0.25">
      <c r="A3" s="1">
        <v>2</v>
      </c>
      <c r="B3" s="7" t="s">
        <v>405</v>
      </c>
      <c r="C3" s="28" t="s">
        <v>380</v>
      </c>
      <c r="D3" s="33" t="s">
        <v>381</v>
      </c>
      <c r="E3" s="1">
        <v>1</v>
      </c>
      <c r="F3" s="1">
        <v>121</v>
      </c>
      <c r="G3">
        <f t="shared" ref="G3:G19" si="0">2*F3</f>
        <v>242</v>
      </c>
      <c r="H3">
        <f>Emission_factor!$C$43*TRANS_LMV_EM!G3</f>
        <v>43.036714285714289</v>
      </c>
    </row>
    <row r="4" spans="1:8" x14ac:dyDescent="0.25">
      <c r="A4" s="1">
        <v>3</v>
      </c>
      <c r="B4" s="7" t="s">
        <v>405</v>
      </c>
      <c r="C4" s="28" t="s">
        <v>380</v>
      </c>
      <c r="D4" s="33" t="s">
        <v>381</v>
      </c>
      <c r="E4" s="1">
        <v>1</v>
      </c>
      <c r="F4" s="1">
        <v>121</v>
      </c>
      <c r="G4">
        <f t="shared" si="0"/>
        <v>242</v>
      </c>
      <c r="H4">
        <f>Emission_factor!$C$43*TRANS_LMV_EM!G4</f>
        <v>43.036714285714289</v>
      </c>
    </row>
    <row r="5" spans="1:8" x14ac:dyDescent="0.25">
      <c r="A5" s="1">
        <v>4</v>
      </c>
      <c r="B5" s="7" t="s">
        <v>405</v>
      </c>
      <c r="C5" s="29">
        <v>45082</v>
      </c>
      <c r="D5" s="32" t="s">
        <v>409</v>
      </c>
      <c r="E5" s="1">
        <v>1</v>
      </c>
      <c r="F5" s="1">
        <v>84</v>
      </c>
      <c r="G5">
        <f t="shared" si="0"/>
        <v>168</v>
      </c>
      <c r="H5">
        <f>Emission_factor!$C$43*TRANS_LMV_EM!G5</f>
        <v>29.876727272727276</v>
      </c>
    </row>
    <row r="6" spans="1:8" x14ac:dyDescent="0.25">
      <c r="A6" s="1">
        <v>5</v>
      </c>
      <c r="B6" s="7" t="s">
        <v>405</v>
      </c>
      <c r="C6" s="29">
        <v>45235</v>
      </c>
      <c r="D6" s="32" t="s">
        <v>409</v>
      </c>
      <c r="E6" s="1">
        <v>1</v>
      </c>
      <c r="F6" s="1">
        <v>84</v>
      </c>
      <c r="G6">
        <f t="shared" si="0"/>
        <v>168</v>
      </c>
      <c r="H6">
        <f>Emission_factor!$C$43*TRANS_LMV_EM!G6</f>
        <v>29.876727272727276</v>
      </c>
    </row>
    <row r="7" spans="1:8" x14ac:dyDescent="0.25">
      <c r="A7" s="1">
        <v>6</v>
      </c>
      <c r="B7" s="7" t="s">
        <v>405</v>
      </c>
      <c r="C7" s="28" t="s">
        <v>382</v>
      </c>
      <c r="D7" s="33" t="s">
        <v>383</v>
      </c>
      <c r="E7" s="1">
        <v>1</v>
      </c>
      <c r="F7" s="1">
        <v>121</v>
      </c>
      <c r="G7">
        <f t="shared" si="0"/>
        <v>242</v>
      </c>
      <c r="H7">
        <f>Emission_factor!$C$43*TRANS_LMV_EM!G7</f>
        <v>43.036714285714289</v>
      </c>
    </row>
    <row r="8" spans="1:8" x14ac:dyDescent="0.25">
      <c r="A8" s="1">
        <v>7</v>
      </c>
      <c r="B8" s="7" t="s">
        <v>405</v>
      </c>
      <c r="C8" s="29">
        <v>45052</v>
      </c>
      <c r="D8" s="32" t="s">
        <v>409</v>
      </c>
      <c r="E8" s="1">
        <v>1</v>
      </c>
      <c r="F8" s="1">
        <v>84</v>
      </c>
      <c r="G8">
        <f t="shared" si="0"/>
        <v>168</v>
      </c>
      <c r="H8">
        <f>Emission_factor!$C$43*TRANS_LMV_EM!G8</f>
        <v>29.876727272727276</v>
      </c>
    </row>
    <row r="9" spans="1:8" x14ac:dyDescent="0.25">
      <c r="A9" s="1">
        <v>8</v>
      </c>
      <c r="B9" s="7" t="s">
        <v>405</v>
      </c>
      <c r="C9" s="29">
        <v>45266</v>
      </c>
      <c r="D9" s="32" t="s">
        <v>409</v>
      </c>
      <c r="E9" s="1">
        <v>1</v>
      </c>
      <c r="F9" s="1">
        <v>84</v>
      </c>
      <c r="G9">
        <f t="shared" si="0"/>
        <v>168</v>
      </c>
      <c r="H9">
        <f>Emission_factor!$C$43*TRANS_LMV_EM!G9</f>
        <v>29.876727272727276</v>
      </c>
    </row>
    <row r="10" spans="1:8" x14ac:dyDescent="0.25">
      <c r="A10" s="1">
        <v>9</v>
      </c>
      <c r="B10" s="7" t="s">
        <v>405</v>
      </c>
      <c r="C10" s="28" t="s">
        <v>385</v>
      </c>
      <c r="D10" s="32" t="s">
        <v>409</v>
      </c>
      <c r="E10" s="1">
        <v>1</v>
      </c>
      <c r="F10" s="1">
        <v>84</v>
      </c>
      <c r="G10">
        <f t="shared" si="0"/>
        <v>168</v>
      </c>
      <c r="H10">
        <f>Emission_factor!$C$43*TRANS_LMV_EM!G10</f>
        <v>29.876727272727276</v>
      </c>
    </row>
    <row r="11" spans="1:8" x14ac:dyDescent="0.25">
      <c r="A11" s="1">
        <v>10</v>
      </c>
      <c r="B11" s="7" t="s">
        <v>405</v>
      </c>
      <c r="C11" s="28" t="s">
        <v>386</v>
      </c>
      <c r="D11" s="33" t="s">
        <v>387</v>
      </c>
      <c r="E11" s="1">
        <v>1</v>
      </c>
      <c r="F11" s="1">
        <v>121</v>
      </c>
      <c r="G11">
        <f t="shared" si="0"/>
        <v>242</v>
      </c>
      <c r="H11">
        <f>Emission_factor!$C$43*TRANS_LMV_EM!G11</f>
        <v>43.036714285714289</v>
      </c>
    </row>
    <row r="12" spans="1:8" x14ac:dyDescent="0.25">
      <c r="A12" s="1">
        <v>11</v>
      </c>
      <c r="B12" s="7" t="s">
        <v>405</v>
      </c>
      <c r="C12" s="28" t="s">
        <v>388</v>
      </c>
      <c r="D12" s="33" t="s">
        <v>389</v>
      </c>
      <c r="E12" s="1">
        <v>1</v>
      </c>
      <c r="F12" s="1">
        <v>123</v>
      </c>
      <c r="G12">
        <f t="shared" si="0"/>
        <v>246</v>
      </c>
      <c r="H12">
        <f>Emission_factor!$C$43*TRANS_LMV_EM!G12</f>
        <v>43.748064935064939</v>
      </c>
    </row>
    <row r="13" spans="1:8" x14ac:dyDescent="0.25">
      <c r="A13" s="1">
        <v>12</v>
      </c>
      <c r="B13" s="7" t="s">
        <v>405</v>
      </c>
      <c r="C13" s="28" t="s">
        <v>390</v>
      </c>
      <c r="D13" s="33" t="s">
        <v>391</v>
      </c>
      <c r="E13" s="1">
        <v>1</v>
      </c>
      <c r="F13" s="1">
        <v>121</v>
      </c>
      <c r="G13">
        <f t="shared" si="0"/>
        <v>242</v>
      </c>
      <c r="H13">
        <f>Emission_factor!$C$43*TRANS_LMV_EM!G13</f>
        <v>43.036714285714289</v>
      </c>
    </row>
    <row r="14" spans="1:8" x14ac:dyDescent="0.25">
      <c r="A14" s="1">
        <v>13</v>
      </c>
      <c r="B14" s="7" t="s">
        <v>405</v>
      </c>
      <c r="C14" s="29">
        <v>45115</v>
      </c>
      <c r="D14" s="32" t="s">
        <v>409</v>
      </c>
      <c r="E14" s="1">
        <v>1</v>
      </c>
      <c r="F14" s="1">
        <v>84</v>
      </c>
      <c r="G14">
        <f t="shared" si="0"/>
        <v>168</v>
      </c>
      <c r="H14">
        <f>Emission_factor!$C$43*TRANS_LMV_EM!G14</f>
        <v>29.876727272727276</v>
      </c>
    </row>
    <row r="15" spans="1:8" x14ac:dyDescent="0.25">
      <c r="A15" s="1">
        <v>14</v>
      </c>
      <c r="B15" s="7" t="s">
        <v>405</v>
      </c>
      <c r="C15" s="28" t="s">
        <v>392</v>
      </c>
      <c r="D15" s="33" t="s">
        <v>393</v>
      </c>
      <c r="E15" s="1">
        <v>1</v>
      </c>
      <c r="F15" s="1">
        <v>541</v>
      </c>
      <c r="G15">
        <f t="shared" si="0"/>
        <v>1082</v>
      </c>
      <c r="H15">
        <f>Emission_factor!$C$43*TRANS_LMV_EM!G15</f>
        <v>192.42035064935067</v>
      </c>
    </row>
    <row r="16" spans="1:8" x14ac:dyDescent="0.25">
      <c r="A16" s="1">
        <v>15</v>
      </c>
      <c r="B16" s="7" t="s">
        <v>405</v>
      </c>
      <c r="C16" s="28" t="s">
        <v>394</v>
      </c>
      <c r="D16" s="33" t="s">
        <v>395</v>
      </c>
      <c r="E16" s="1">
        <v>1</v>
      </c>
      <c r="F16" s="1">
        <v>121</v>
      </c>
      <c r="G16">
        <f t="shared" si="0"/>
        <v>242</v>
      </c>
      <c r="H16">
        <f>Emission_factor!$C$43*TRANS_LMV_EM!G16</f>
        <v>43.036714285714289</v>
      </c>
    </row>
    <row r="17" spans="1:8" x14ac:dyDescent="0.25">
      <c r="A17" s="1">
        <v>16</v>
      </c>
      <c r="B17" s="7" t="s">
        <v>405</v>
      </c>
      <c r="C17" s="28" t="s">
        <v>396</v>
      </c>
      <c r="D17" s="33" t="s">
        <v>397</v>
      </c>
      <c r="E17" s="1">
        <v>1</v>
      </c>
      <c r="F17" s="1">
        <v>121</v>
      </c>
      <c r="G17">
        <f t="shared" si="0"/>
        <v>242</v>
      </c>
      <c r="H17">
        <f>Emission_factor!$C$43*TRANS_LMV_EM!G17</f>
        <v>43.036714285714289</v>
      </c>
    </row>
    <row r="18" spans="1:8" x14ac:dyDescent="0.25">
      <c r="A18" s="1">
        <v>17</v>
      </c>
      <c r="B18" s="7" t="s">
        <v>405</v>
      </c>
      <c r="C18" s="28" t="s">
        <v>398</v>
      </c>
      <c r="D18" s="32" t="s">
        <v>409</v>
      </c>
      <c r="E18" s="1">
        <v>1</v>
      </c>
      <c r="F18" s="1">
        <v>84</v>
      </c>
      <c r="G18">
        <f t="shared" si="0"/>
        <v>168</v>
      </c>
      <c r="H18">
        <f>Emission_factor!$C$43*TRANS_LMV_EM!G18</f>
        <v>29.876727272727276</v>
      </c>
    </row>
    <row r="19" spans="1:8" x14ac:dyDescent="0.25">
      <c r="A19" s="1">
        <v>18</v>
      </c>
      <c r="B19" s="7" t="s">
        <v>405</v>
      </c>
      <c r="C19" s="29">
        <v>45088</v>
      </c>
      <c r="D19" s="32" t="s">
        <v>409</v>
      </c>
      <c r="E19" s="1">
        <v>1</v>
      </c>
      <c r="F19" s="1">
        <v>84</v>
      </c>
      <c r="G19">
        <f t="shared" si="0"/>
        <v>168</v>
      </c>
      <c r="H19">
        <f>Emission_factor!$C$43*TRANS_LMV_EM!G19</f>
        <v>29.876727272727276</v>
      </c>
    </row>
    <row r="20" spans="1:8" x14ac:dyDescent="0.25">
      <c r="H20">
        <f>SUM(H2:H19)</f>
        <v>806.31596103896118</v>
      </c>
    </row>
    <row r="21" spans="1:8" x14ac:dyDescent="0.25">
      <c r="H21" t="s">
        <v>526</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44"/>
  <sheetViews>
    <sheetView workbookViewId="0">
      <selection activeCell="K543" sqref="K543"/>
    </sheetView>
  </sheetViews>
  <sheetFormatPr defaultRowHeight="15" x14ac:dyDescent="0.25"/>
  <cols>
    <col min="2" max="2" width="16.85546875" bestFit="1" customWidth="1"/>
    <col min="3" max="3" width="10.140625" bestFit="1" customWidth="1"/>
    <col min="4" max="4" width="6.85546875" bestFit="1" customWidth="1"/>
    <col min="5" max="5" width="10.140625" customWidth="1"/>
    <col min="6" max="6" width="47.28515625" style="35" bestFit="1" customWidth="1"/>
    <col min="7" max="7" width="15" style="35" customWidth="1"/>
    <col min="8" max="8" width="14" style="35" customWidth="1"/>
    <col min="9" max="9" width="14" style="44" customWidth="1"/>
    <col min="10" max="10" width="13.5703125" bestFit="1" customWidth="1"/>
    <col min="11" max="11" width="14.42578125" bestFit="1" customWidth="1"/>
  </cols>
  <sheetData>
    <row r="1" spans="1:11" x14ac:dyDescent="0.25">
      <c r="A1" s="1" t="s">
        <v>118</v>
      </c>
      <c r="B1" s="1" t="s">
        <v>0</v>
      </c>
      <c r="C1" s="1" t="s">
        <v>160</v>
      </c>
      <c r="D1" s="1" t="s">
        <v>124</v>
      </c>
      <c r="E1" s="1" t="s">
        <v>123</v>
      </c>
      <c r="F1" s="26" t="s">
        <v>411</v>
      </c>
      <c r="G1" s="26" t="s">
        <v>401</v>
      </c>
      <c r="H1" s="26" t="s">
        <v>258</v>
      </c>
      <c r="I1" s="49" t="s">
        <v>375</v>
      </c>
      <c r="J1" s="48" t="s">
        <v>485</v>
      </c>
      <c r="K1" s="47" t="s">
        <v>560</v>
      </c>
    </row>
    <row r="2" spans="1:11" x14ac:dyDescent="0.25">
      <c r="A2" s="1">
        <v>1</v>
      </c>
      <c r="B2" s="1" t="s">
        <v>72</v>
      </c>
      <c r="C2" s="1" t="s">
        <v>412</v>
      </c>
      <c r="D2" s="1" t="s">
        <v>125</v>
      </c>
      <c r="E2" s="1">
        <v>2023</v>
      </c>
      <c r="F2" s="26" t="s">
        <v>413</v>
      </c>
      <c r="G2" s="37" t="s">
        <v>418</v>
      </c>
      <c r="H2" s="26">
        <v>16</v>
      </c>
      <c r="I2" s="49">
        <v>30</v>
      </c>
      <c r="J2" s="1">
        <f>H2*I2*2</f>
        <v>960</v>
      </c>
      <c r="K2">
        <f>J2*Emission_factor!$C$48</f>
        <v>569.08799999999997</v>
      </c>
    </row>
    <row r="3" spans="1:11" x14ac:dyDescent="0.25">
      <c r="A3" s="1">
        <v>2</v>
      </c>
      <c r="B3" s="1" t="s">
        <v>72</v>
      </c>
      <c r="C3" s="1" t="s">
        <v>412</v>
      </c>
      <c r="D3" s="1" t="s">
        <v>125</v>
      </c>
      <c r="E3" s="1">
        <v>2023</v>
      </c>
      <c r="F3" s="26" t="s">
        <v>414</v>
      </c>
      <c r="G3" s="26" t="s">
        <v>419</v>
      </c>
      <c r="H3" s="26">
        <v>342</v>
      </c>
      <c r="I3" s="49">
        <v>51</v>
      </c>
      <c r="J3" s="1">
        <f t="shared" ref="J3:J66" si="0">H3*I3*2</f>
        <v>34884</v>
      </c>
      <c r="K3">
        <f>J3*Emission_factor!$C$48</f>
        <v>20679.235199999999</v>
      </c>
    </row>
    <row r="4" spans="1:11" x14ac:dyDescent="0.25">
      <c r="A4" s="1">
        <v>3</v>
      </c>
      <c r="B4" s="1" t="s">
        <v>72</v>
      </c>
      <c r="C4" s="1" t="s">
        <v>412</v>
      </c>
      <c r="D4" s="1" t="s">
        <v>125</v>
      </c>
      <c r="E4" s="1">
        <v>2023</v>
      </c>
      <c r="F4" s="26" t="s">
        <v>415</v>
      </c>
      <c r="G4" s="26" t="s">
        <v>420</v>
      </c>
      <c r="H4" s="26">
        <v>8</v>
      </c>
      <c r="I4" s="49">
        <v>47</v>
      </c>
      <c r="J4" s="1">
        <f t="shared" si="0"/>
        <v>752</v>
      </c>
      <c r="K4">
        <f>J4*Emission_factor!$C$48</f>
        <v>445.78559999999999</v>
      </c>
    </row>
    <row r="5" spans="1:11" x14ac:dyDescent="0.25">
      <c r="A5" s="1">
        <v>4</v>
      </c>
      <c r="B5" s="1" t="s">
        <v>72</v>
      </c>
      <c r="C5" s="1" t="s">
        <v>412</v>
      </c>
      <c r="D5" s="1" t="s">
        <v>125</v>
      </c>
      <c r="E5" s="1">
        <v>2023</v>
      </c>
      <c r="F5" s="26" t="s">
        <v>416</v>
      </c>
      <c r="G5" s="26" t="s">
        <v>421</v>
      </c>
      <c r="H5" s="26">
        <v>91</v>
      </c>
      <c r="I5" s="49">
        <v>51</v>
      </c>
      <c r="J5" s="1">
        <f t="shared" si="0"/>
        <v>9282</v>
      </c>
      <c r="K5">
        <f>J5*Emission_factor!$C$48</f>
        <v>5502.3696</v>
      </c>
    </row>
    <row r="6" spans="1:11" x14ac:dyDescent="0.25">
      <c r="A6" s="1">
        <v>5</v>
      </c>
      <c r="B6" s="1" t="s">
        <v>72</v>
      </c>
      <c r="C6" s="1" t="s">
        <v>412</v>
      </c>
      <c r="D6" s="1" t="s">
        <v>126</v>
      </c>
      <c r="E6" s="1">
        <v>2023</v>
      </c>
      <c r="F6" s="37" t="s">
        <v>414</v>
      </c>
      <c r="G6" s="37" t="s">
        <v>419</v>
      </c>
      <c r="H6" s="26">
        <v>79</v>
      </c>
      <c r="I6" s="49">
        <v>51</v>
      </c>
      <c r="J6" s="1">
        <f t="shared" si="0"/>
        <v>8058</v>
      </c>
      <c r="K6">
        <f>J6*Emission_factor!$C$48</f>
        <v>4776.7824000000001</v>
      </c>
    </row>
    <row r="7" spans="1:11" x14ac:dyDescent="0.25">
      <c r="A7" s="1">
        <v>6</v>
      </c>
      <c r="B7" s="1" t="s">
        <v>72</v>
      </c>
      <c r="C7" s="1" t="s">
        <v>412</v>
      </c>
      <c r="D7" s="1" t="s">
        <v>126</v>
      </c>
      <c r="E7" s="1">
        <v>2023</v>
      </c>
      <c r="F7" s="37" t="s">
        <v>422</v>
      </c>
      <c r="G7" s="37" t="s">
        <v>423</v>
      </c>
      <c r="H7" s="26">
        <v>45</v>
      </c>
      <c r="I7" s="49">
        <v>47.1</v>
      </c>
      <c r="J7" s="1">
        <f t="shared" si="0"/>
        <v>4239</v>
      </c>
      <c r="K7">
        <f>J7*Emission_factor!$C$48</f>
        <v>2512.8791999999999</v>
      </c>
    </row>
    <row r="8" spans="1:11" x14ac:dyDescent="0.25">
      <c r="A8" s="1">
        <v>7</v>
      </c>
      <c r="B8" s="1" t="s">
        <v>72</v>
      </c>
      <c r="C8" s="1" t="s">
        <v>412</v>
      </c>
      <c r="D8" s="1" t="s">
        <v>126</v>
      </c>
      <c r="E8" s="1">
        <v>2023</v>
      </c>
      <c r="F8" s="37" t="s">
        <v>424</v>
      </c>
      <c r="G8" s="37" t="s">
        <v>425</v>
      </c>
      <c r="H8" s="26">
        <v>42</v>
      </c>
      <c r="I8" s="49">
        <v>113</v>
      </c>
      <c r="J8" s="1">
        <f t="shared" si="0"/>
        <v>9492</v>
      </c>
      <c r="K8">
        <f>J8*Emission_factor!$C$48</f>
        <v>5626.8576000000003</v>
      </c>
    </row>
    <row r="9" spans="1:11" x14ac:dyDescent="0.25">
      <c r="A9" s="1">
        <v>8</v>
      </c>
      <c r="B9" s="1" t="s">
        <v>72</v>
      </c>
      <c r="C9" s="1" t="s">
        <v>412</v>
      </c>
      <c r="D9" s="1" t="s">
        <v>126</v>
      </c>
      <c r="E9" s="1">
        <v>2023</v>
      </c>
      <c r="F9" s="37" t="s">
        <v>414</v>
      </c>
      <c r="G9" s="37" t="s">
        <v>419</v>
      </c>
      <c r="H9" s="26">
        <v>69</v>
      </c>
      <c r="I9" s="49">
        <v>51</v>
      </c>
      <c r="J9" s="1">
        <f t="shared" si="0"/>
        <v>7038</v>
      </c>
      <c r="K9">
        <f>J9*Emission_factor!$C$48</f>
        <v>4172.1264000000001</v>
      </c>
    </row>
    <row r="10" spans="1:11" x14ac:dyDescent="0.25">
      <c r="A10" s="1">
        <v>9</v>
      </c>
      <c r="B10" s="1" t="s">
        <v>72</v>
      </c>
      <c r="C10" s="1" t="s">
        <v>412</v>
      </c>
      <c r="D10" s="1" t="s">
        <v>126</v>
      </c>
      <c r="E10" s="1">
        <v>2023</v>
      </c>
      <c r="F10" s="37" t="s">
        <v>422</v>
      </c>
      <c r="G10" s="37" t="s">
        <v>423</v>
      </c>
      <c r="H10" s="26">
        <v>46</v>
      </c>
      <c r="I10" s="49">
        <v>47.1</v>
      </c>
      <c r="J10" s="1">
        <f t="shared" si="0"/>
        <v>4333.2</v>
      </c>
      <c r="K10">
        <f>J10*Emission_factor!$C$48</f>
        <v>2568.7209599999996</v>
      </c>
    </row>
    <row r="11" spans="1:11" x14ac:dyDescent="0.25">
      <c r="A11" s="1">
        <v>10</v>
      </c>
      <c r="B11" s="1" t="s">
        <v>72</v>
      </c>
      <c r="C11" s="1" t="s">
        <v>412</v>
      </c>
      <c r="D11" s="1" t="s">
        <v>126</v>
      </c>
      <c r="E11" s="1">
        <v>2023</v>
      </c>
      <c r="F11" s="37" t="s">
        <v>426</v>
      </c>
      <c r="G11" s="37" t="s">
        <v>427</v>
      </c>
      <c r="H11" s="26">
        <v>25</v>
      </c>
      <c r="I11" s="49">
        <v>168</v>
      </c>
      <c r="J11" s="1">
        <f t="shared" si="0"/>
        <v>8400</v>
      </c>
      <c r="K11">
        <f>J11*Emission_factor!$C$48</f>
        <v>4979.5199999999995</v>
      </c>
    </row>
    <row r="12" spans="1:11" x14ac:dyDescent="0.25">
      <c r="A12" s="1">
        <v>11</v>
      </c>
      <c r="B12" s="1" t="s">
        <v>72</v>
      </c>
      <c r="C12" s="1" t="s">
        <v>412</v>
      </c>
      <c r="D12" s="1" t="s">
        <v>126</v>
      </c>
      <c r="E12" s="1">
        <v>2023</v>
      </c>
      <c r="F12" s="37" t="s">
        <v>416</v>
      </c>
      <c r="G12" s="37" t="s">
        <v>421</v>
      </c>
      <c r="H12" s="26">
        <v>33</v>
      </c>
      <c r="I12" s="49">
        <v>51</v>
      </c>
      <c r="J12" s="1">
        <f t="shared" si="0"/>
        <v>3366</v>
      </c>
      <c r="K12">
        <f>J12*Emission_factor!$C$48</f>
        <v>1995.3648000000001</v>
      </c>
    </row>
    <row r="13" spans="1:11" x14ac:dyDescent="0.25">
      <c r="A13" s="1">
        <v>12</v>
      </c>
      <c r="B13" s="1" t="s">
        <v>72</v>
      </c>
      <c r="C13" s="1" t="s">
        <v>412</v>
      </c>
      <c r="D13" s="1" t="s">
        <v>126</v>
      </c>
      <c r="E13" s="1">
        <v>2023</v>
      </c>
      <c r="F13" s="37" t="s">
        <v>416</v>
      </c>
      <c r="G13" s="37" t="s">
        <v>421</v>
      </c>
      <c r="H13" s="26">
        <v>16</v>
      </c>
      <c r="I13" s="49">
        <v>51</v>
      </c>
      <c r="J13" s="1">
        <f t="shared" si="0"/>
        <v>1632</v>
      </c>
      <c r="K13">
        <f>J13*Emission_factor!$C$48</f>
        <v>967.44960000000003</v>
      </c>
    </row>
    <row r="14" spans="1:11" x14ac:dyDescent="0.25">
      <c r="A14" s="1">
        <v>13</v>
      </c>
      <c r="B14" s="1" t="s">
        <v>72</v>
      </c>
      <c r="C14" s="1" t="s">
        <v>412</v>
      </c>
      <c r="D14" s="1" t="s">
        <v>126</v>
      </c>
      <c r="E14" s="1">
        <v>2023</v>
      </c>
      <c r="F14" s="37" t="s">
        <v>414</v>
      </c>
      <c r="G14" s="37" t="s">
        <v>419</v>
      </c>
      <c r="H14" s="26">
        <v>100</v>
      </c>
      <c r="I14" s="49">
        <v>51</v>
      </c>
      <c r="J14" s="1">
        <f t="shared" si="0"/>
        <v>10200</v>
      </c>
      <c r="K14">
        <f>J14*Emission_factor!$C$48</f>
        <v>6046.5599999999995</v>
      </c>
    </row>
    <row r="15" spans="1:11" x14ac:dyDescent="0.25">
      <c r="A15" s="1">
        <v>14</v>
      </c>
      <c r="B15" s="1" t="s">
        <v>72</v>
      </c>
      <c r="C15" s="1" t="s">
        <v>412</v>
      </c>
      <c r="D15" s="1" t="s">
        <v>126</v>
      </c>
      <c r="E15" s="1">
        <v>2023</v>
      </c>
      <c r="F15" s="37" t="s">
        <v>414</v>
      </c>
      <c r="G15" s="37" t="s">
        <v>419</v>
      </c>
      <c r="H15" s="26">
        <v>149</v>
      </c>
      <c r="I15" s="49">
        <v>51</v>
      </c>
      <c r="J15" s="1">
        <f t="shared" si="0"/>
        <v>15198</v>
      </c>
      <c r="K15">
        <f>J15*Emission_factor!$C$48</f>
        <v>9009.3744000000006</v>
      </c>
    </row>
    <row r="16" spans="1:11" x14ac:dyDescent="0.25">
      <c r="A16" s="1">
        <v>15</v>
      </c>
      <c r="B16" s="1" t="s">
        <v>72</v>
      </c>
      <c r="C16" s="1" t="s">
        <v>412</v>
      </c>
      <c r="D16" s="1" t="s">
        <v>126</v>
      </c>
      <c r="E16" s="1">
        <v>2023</v>
      </c>
      <c r="F16" s="37" t="s">
        <v>428</v>
      </c>
      <c r="G16" s="37" t="s">
        <v>429</v>
      </c>
      <c r="H16" s="26">
        <v>8</v>
      </c>
      <c r="I16" s="49">
        <v>29.4</v>
      </c>
      <c r="J16" s="1">
        <f t="shared" si="0"/>
        <v>470.4</v>
      </c>
      <c r="K16">
        <f>J16*Emission_factor!$C$48</f>
        <v>278.85311999999999</v>
      </c>
    </row>
    <row r="17" spans="1:11" x14ac:dyDescent="0.25">
      <c r="A17" s="1">
        <v>16</v>
      </c>
      <c r="B17" s="1" t="s">
        <v>72</v>
      </c>
      <c r="C17" s="1" t="s">
        <v>412</v>
      </c>
      <c r="D17" s="1" t="s">
        <v>126</v>
      </c>
      <c r="E17" s="1">
        <v>2023</v>
      </c>
      <c r="F17" s="37" t="s">
        <v>428</v>
      </c>
      <c r="G17" s="37" t="s">
        <v>429</v>
      </c>
      <c r="H17" s="26">
        <v>8</v>
      </c>
      <c r="I17" s="49">
        <v>29.4</v>
      </c>
      <c r="J17" s="1">
        <f t="shared" si="0"/>
        <v>470.4</v>
      </c>
      <c r="K17">
        <f>J17*Emission_factor!$C$48</f>
        <v>278.85311999999999</v>
      </c>
    </row>
    <row r="18" spans="1:11" x14ac:dyDescent="0.25">
      <c r="A18" s="1">
        <v>17</v>
      </c>
      <c r="B18" s="1" t="s">
        <v>72</v>
      </c>
      <c r="C18" s="1" t="s">
        <v>412</v>
      </c>
      <c r="D18" s="1" t="s">
        <v>126</v>
      </c>
      <c r="E18" s="1">
        <v>2023</v>
      </c>
      <c r="F18" s="37" t="s">
        <v>414</v>
      </c>
      <c r="G18" s="37" t="s">
        <v>419</v>
      </c>
      <c r="H18" s="26">
        <v>103</v>
      </c>
      <c r="I18" s="49">
        <v>51</v>
      </c>
      <c r="J18" s="1">
        <f t="shared" si="0"/>
        <v>10506</v>
      </c>
      <c r="K18">
        <f>J18*Emission_factor!$C$48</f>
        <v>6227.9567999999999</v>
      </c>
    </row>
    <row r="19" spans="1:11" x14ac:dyDescent="0.25">
      <c r="A19" s="1">
        <v>18</v>
      </c>
      <c r="B19" s="1" t="s">
        <v>72</v>
      </c>
      <c r="C19" s="1" t="s">
        <v>412</v>
      </c>
      <c r="D19" s="1" t="s">
        <v>126</v>
      </c>
      <c r="E19" s="1">
        <v>2023</v>
      </c>
      <c r="F19" s="37" t="s">
        <v>416</v>
      </c>
      <c r="G19" s="37" t="s">
        <v>432</v>
      </c>
      <c r="H19" s="26">
        <v>1</v>
      </c>
      <c r="I19" s="49">
        <v>51</v>
      </c>
      <c r="J19" s="1">
        <f t="shared" si="0"/>
        <v>102</v>
      </c>
      <c r="K19">
        <f>J19*Emission_factor!$C$48</f>
        <v>60.465600000000002</v>
      </c>
    </row>
    <row r="20" spans="1:11" x14ac:dyDescent="0.25">
      <c r="A20" s="1">
        <v>19</v>
      </c>
      <c r="B20" s="1" t="s">
        <v>72</v>
      </c>
      <c r="C20" s="1" t="s">
        <v>412</v>
      </c>
      <c r="D20" s="1" t="s">
        <v>126</v>
      </c>
      <c r="E20" s="1">
        <v>2023</v>
      </c>
      <c r="F20" s="37" t="s">
        <v>416</v>
      </c>
      <c r="G20" s="37" t="s">
        <v>432</v>
      </c>
      <c r="H20" s="26">
        <v>31</v>
      </c>
      <c r="I20" s="49">
        <v>51</v>
      </c>
      <c r="J20" s="1">
        <f t="shared" si="0"/>
        <v>3162</v>
      </c>
      <c r="K20">
        <f>J20*Emission_factor!$C$48</f>
        <v>1874.4336000000001</v>
      </c>
    </row>
    <row r="21" spans="1:11" x14ac:dyDescent="0.25">
      <c r="A21" s="1">
        <v>20</v>
      </c>
      <c r="B21" s="1" t="s">
        <v>72</v>
      </c>
      <c r="C21" s="1" t="s">
        <v>412</v>
      </c>
      <c r="D21" s="1" t="s">
        <v>126</v>
      </c>
      <c r="E21" s="1">
        <v>2023</v>
      </c>
      <c r="F21" s="37" t="s">
        <v>416</v>
      </c>
      <c r="G21" s="37" t="s">
        <v>432</v>
      </c>
      <c r="H21" s="26">
        <v>45</v>
      </c>
      <c r="I21" s="49">
        <v>51</v>
      </c>
      <c r="J21" s="1">
        <f t="shared" si="0"/>
        <v>4590</v>
      </c>
      <c r="K21">
        <f>J21*Emission_factor!$C$48</f>
        <v>2720.9519999999998</v>
      </c>
    </row>
    <row r="22" spans="1:11" x14ac:dyDescent="0.25">
      <c r="A22" s="1">
        <v>21</v>
      </c>
      <c r="B22" s="1" t="s">
        <v>72</v>
      </c>
      <c r="C22" s="1" t="s">
        <v>412</v>
      </c>
      <c r="D22" s="1" t="s">
        <v>126</v>
      </c>
      <c r="E22" s="1">
        <v>2023</v>
      </c>
      <c r="F22" s="37" t="s">
        <v>416</v>
      </c>
      <c r="G22" s="37" t="s">
        <v>432</v>
      </c>
      <c r="H22" s="26">
        <v>23</v>
      </c>
      <c r="I22" s="49">
        <v>51</v>
      </c>
      <c r="J22" s="1">
        <f t="shared" si="0"/>
        <v>2346</v>
      </c>
      <c r="K22">
        <f>J22*Emission_factor!$C$48</f>
        <v>1390.7087999999999</v>
      </c>
    </row>
    <row r="23" spans="1:11" x14ac:dyDescent="0.25">
      <c r="A23" s="1">
        <v>22</v>
      </c>
      <c r="B23" s="1" t="s">
        <v>72</v>
      </c>
      <c r="C23" s="1" t="s">
        <v>412</v>
      </c>
      <c r="D23" s="1" t="s">
        <v>126</v>
      </c>
      <c r="E23" s="1">
        <v>2023</v>
      </c>
      <c r="F23" s="37" t="s">
        <v>414</v>
      </c>
      <c r="G23" s="37" t="s">
        <v>419</v>
      </c>
      <c r="H23" s="26">
        <v>1</v>
      </c>
      <c r="I23" s="49">
        <v>51</v>
      </c>
      <c r="J23" s="1">
        <f t="shared" si="0"/>
        <v>102</v>
      </c>
      <c r="K23">
        <f>J23*Emission_factor!$C$48</f>
        <v>60.465600000000002</v>
      </c>
    </row>
    <row r="24" spans="1:11" x14ac:dyDescent="0.25">
      <c r="A24" s="1">
        <v>23</v>
      </c>
      <c r="B24" s="1" t="s">
        <v>72</v>
      </c>
      <c r="C24" s="1" t="s">
        <v>412</v>
      </c>
      <c r="D24" s="1" t="s">
        <v>126</v>
      </c>
      <c r="E24" s="1">
        <v>2023</v>
      </c>
      <c r="F24" s="37" t="s">
        <v>414</v>
      </c>
      <c r="G24" s="37" t="s">
        <v>419</v>
      </c>
      <c r="H24" s="26">
        <v>68</v>
      </c>
      <c r="I24" s="49">
        <v>51</v>
      </c>
      <c r="J24" s="1">
        <f t="shared" si="0"/>
        <v>6936</v>
      </c>
      <c r="K24">
        <f>J24*Emission_factor!$C$48</f>
        <v>4111.6607999999997</v>
      </c>
    </row>
    <row r="25" spans="1:11" x14ac:dyDescent="0.25">
      <c r="A25" s="1">
        <v>24</v>
      </c>
      <c r="B25" s="1" t="s">
        <v>72</v>
      </c>
      <c r="C25" s="1" t="s">
        <v>412</v>
      </c>
      <c r="D25" s="1" t="s">
        <v>126</v>
      </c>
      <c r="E25" s="1">
        <v>2023</v>
      </c>
      <c r="F25" s="37" t="s">
        <v>414</v>
      </c>
      <c r="G25" s="37" t="s">
        <v>419</v>
      </c>
      <c r="H25" s="26">
        <v>81</v>
      </c>
      <c r="I25" s="49">
        <v>51</v>
      </c>
      <c r="J25" s="1">
        <f t="shared" si="0"/>
        <v>8262</v>
      </c>
      <c r="K25">
        <f>J25*Emission_factor!$C$48</f>
        <v>4897.7136</v>
      </c>
    </row>
    <row r="26" spans="1:11" x14ac:dyDescent="0.25">
      <c r="A26" s="1">
        <v>25</v>
      </c>
      <c r="B26" s="1" t="s">
        <v>72</v>
      </c>
      <c r="C26" s="1" t="s">
        <v>412</v>
      </c>
      <c r="D26" s="1" t="s">
        <v>126</v>
      </c>
      <c r="E26" s="1">
        <v>2023</v>
      </c>
      <c r="F26" s="37" t="s">
        <v>416</v>
      </c>
      <c r="G26" s="37" t="s">
        <v>421</v>
      </c>
      <c r="H26" s="26">
        <v>67</v>
      </c>
      <c r="I26" s="49">
        <v>51</v>
      </c>
      <c r="J26" s="1">
        <f t="shared" si="0"/>
        <v>6834</v>
      </c>
      <c r="K26">
        <f>J26*Emission_factor!$C$48</f>
        <v>4051.1952000000001</v>
      </c>
    </row>
    <row r="27" spans="1:11" x14ac:dyDescent="0.25">
      <c r="A27" s="1">
        <v>26</v>
      </c>
      <c r="B27" s="1" t="s">
        <v>72</v>
      </c>
      <c r="C27" s="1" t="s">
        <v>412</v>
      </c>
      <c r="D27" s="1" t="s">
        <v>126</v>
      </c>
      <c r="E27" s="1">
        <v>2023</v>
      </c>
      <c r="F27" s="37" t="s">
        <v>422</v>
      </c>
      <c r="G27" s="37" t="s">
        <v>423</v>
      </c>
      <c r="H27" s="26">
        <v>41</v>
      </c>
      <c r="I27" s="49">
        <v>47.1</v>
      </c>
      <c r="J27" s="1">
        <f t="shared" si="0"/>
        <v>3862.2000000000003</v>
      </c>
      <c r="K27">
        <f>J27*Emission_factor!$C$48</f>
        <v>2289.5121600000002</v>
      </c>
    </row>
    <row r="28" spans="1:11" x14ac:dyDescent="0.25">
      <c r="A28" s="1">
        <v>27</v>
      </c>
      <c r="B28" s="1" t="s">
        <v>72</v>
      </c>
      <c r="C28" s="1" t="s">
        <v>412</v>
      </c>
      <c r="D28" s="1" t="s">
        <v>126</v>
      </c>
      <c r="E28" s="1">
        <v>2023</v>
      </c>
      <c r="F28" s="37" t="s">
        <v>416</v>
      </c>
      <c r="G28" s="37" t="s">
        <v>421</v>
      </c>
      <c r="H28" s="26">
        <v>1</v>
      </c>
      <c r="I28" s="49">
        <v>51</v>
      </c>
      <c r="J28" s="1">
        <f t="shared" si="0"/>
        <v>102</v>
      </c>
      <c r="K28">
        <f>J28*Emission_factor!$C$48</f>
        <v>60.465600000000002</v>
      </c>
    </row>
    <row r="29" spans="1:11" x14ac:dyDescent="0.25">
      <c r="A29" s="1">
        <v>28</v>
      </c>
      <c r="B29" s="1" t="s">
        <v>72</v>
      </c>
      <c r="C29" s="1" t="s">
        <v>412</v>
      </c>
      <c r="D29" s="1" t="s">
        <v>126</v>
      </c>
      <c r="E29" s="1">
        <v>2023</v>
      </c>
      <c r="F29" s="37" t="s">
        <v>422</v>
      </c>
      <c r="G29" s="37" t="s">
        <v>423</v>
      </c>
      <c r="H29" s="26">
        <v>40</v>
      </c>
      <c r="I29" s="49">
        <v>47.1</v>
      </c>
      <c r="J29" s="1">
        <f t="shared" si="0"/>
        <v>3768</v>
      </c>
      <c r="K29">
        <f>J29*Emission_factor!$C$48</f>
        <v>2233.6704</v>
      </c>
    </row>
    <row r="30" spans="1:11" x14ac:dyDescent="0.25">
      <c r="A30" s="1">
        <v>29</v>
      </c>
      <c r="B30" s="1" t="s">
        <v>72</v>
      </c>
      <c r="C30" s="1" t="s">
        <v>412</v>
      </c>
      <c r="D30" s="1" t="s">
        <v>126</v>
      </c>
      <c r="E30" s="1">
        <v>2023</v>
      </c>
      <c r="F30" s="37" t="s">
        <v>414</v>
      </c>
      <c r="G30" s="37" t="s">
        <v>419</v>
      </c>
      <c r="H30" s="26">
        <v>187</v>
      </c>
      <c r="I30" s="49">
        <v>51</v>
      </c>
      <c r="J30" s="1">
        <f t="shared" si="0"/>
        <v>19074</v>
      </c>
      <c r="K30">
        <f>J30*Emission_factor!$C$48</f>
        <v>11307.0672</v>
      </c>
    </row>
    <row r="31" spans="1:11" x14ac:dyDescent="0.25">
      <c r="A31" s="1">
        <v>30</v>
      </c>
      <c r="B31" s="1" t="s">
        <v>72</v>
      </c>
      <c r="C31" s="1" t="s">
        <v>412</v>
      </c>
      <c r="D31" s="1" t="s">
        <v>126</v>
      </c>
      <c r="E31" s="1">
        <v>2023</v>
      </c>
      <c r="F31" s="37" t="s">
        <v>422</v>
      </c>
      <c r="G31" s="37" t="s">
        <v>423</v>
      </c>
      <c r="H31" s="26">
        <v>14</v>
      </c>
      <c r="I31" s="49">
        <v>47.1</v>
      </c>
      <c r="J31" s="1">
        <f t="shared" si="0"/>
        <v>1318.8</v>
      </c>
      <c r="K31">
        <f>J31*Emission_factor!$C$48</f>
        <v>781.78463999999997</v>
      </c>
    </row>
    <row r="32" spans="1:11" x14ac:dyDescent="0.25">
      <c r="A32" s="1">
        <v>31</v>
      </c>
      <c r="B32" s="1" t="s">
        <v>72</v>
      </c>
      <c r="C32" s="1" t="s">
        <v>412</v>
      </c>
      <c r="D32" s="1" t="s">
        <v>126</v>
      </c>
      <c r="E32" s="1">
        <v>2023</v>
      </c>
      <c r="F32" s="37" t="s">
        <v>414</v>
      </c>
      <c r="G32" s="37" t="s">
        <v>419</v>
      </c>
      <c r="H32" s="26">
        <v>1</v>
      </c>
      <c r="I32" s="49">
        <v>51</v>
      </c>
      <c r="J32" s="1">
        <f t="shared" si="0"/>
        <v>102</v>
      </c>
      <c r="K32">
        <f>J32*Emission_factor!$C$48</f>
        <v>60.465600000000002</v>
      </c>
    </row>
    <row r="33" spans="1:11" x14ac:dyDescent="0.25">
      <c r="A33" s="1">
        <v>32</v>
      </c>
      <c r="B33" s="1" t="s">
        <v>72</v>
      </c>
      <c r="C33" s="1" t="s">
        <v>412</v>
      </c>
      <c r="D33" s="1" t="s">
        <v>126</v>
      </c>
      <c r="E33" s="1">
        <v>2023</v>
      </c>
      <c r="F33" s="37" t="s">
        <v>422</v>
      </c>
      <c r="G33" s="37" t="s">
        <v>423</v>
      </c>
      <c r="H33" s="26">
        <v>1</v>
      </c>
      <c r="I33" s="49">
        <v>47.1</v>
      </c>
      <c r="J33" s="1">
        <f t="shared" si="0"/>
        <v>94.2</v>
      </c>
      <c r="K33">
        <f>J33*Emission_factor!$C$48</f>
        <v>55.841760000000001</v>
      </c>
    </row>
    <row r="34" spans="1:11" x14ac:dyDescent="0.25">
      <c r="A34" s="1">
        <v>33</v>
      </c>
      <c r="B34" s="1" t="s">
        <v>72</v>
      </c>
      <c r="C34" s="1" t="s">
        <v>412</v>
      </c>
      <c r="D34" s="1" t="s">
        <v>126</v>
      </c>
      <c r="E34" s="1">
        <v>2023</v>
      </c>
      <c r="F34" s="37" t="s">
        <v>422</v>
      </c>
      <c r="G34" s="37" t="s">
        <v>423</v>
      </c>
      <c r="H34" s="26">
        <v>13</v>
      </c>
      <c r="I34" s="49">
        <v>47.1</v>
      </c>
      <c r="J34" s="1">
        <f t="shared" si="0"/>
        <v>1224.6000000000001</v>
      </c>
      <c r="K34">
        <f>J34*Emission_factor!$C$48</f>
        <v>725.94288000000006</v>
      </c>
    </row>
    <row r="35" spans="1:11" x14ac:dyDescent="0.25">
      <c r="A35" s="1">
        <v>34</v>
      </c>
      <c r="B35" s="1" t="s">
        <v>72</v>
      </c>
      <c r="C35" s="1" t="s">
        <v>412</v>
      </c>
      <c r="D35" s="1" t="s">
        <v>126</v>
      </c>
      <c r="E35" s="1">
        <v>2023</v>
      </c>
      <c r="F35" s="37" t="s">
        <v>428</v>
      </c>
      <c r="G35" s="37" t="s">
        <v>429</v>
      </c>
      <c r="H35" s="26">
        <v>16</v>
      </c>
      <c r="I35" s="49">
        <v>29.4</v>
      </c>
      <c r="J35" s="1">
        <f t="shared" si="0"/>
        <v>940.8</v>
      </c>
      <c r="K35">
        <f>J35*Emission_factor!$C$48</f>
        <v>557.70623999999998</v>
      </c>
    </row>
    <row r="36" spans="1:11" x14ac:dyDescent="0.25">
      <c r="A36" s="1">
        <v>35</v>
      </c>
      <c r="B36" s="1" t="s">
        <v>72</v>
      </c>
      <c r="C36" s="1" t="s">
        <v>412</v>
      </c>
      <c r="D36" s="1" t="s">
        <v>126</v>
      </c>
      <c r="E36" s="1">
        <v>2023</v>
      </c>
      <c r="F36" s="37" t="s">
        <v>433</v>
      </c>
      <c r="G36" s="37" t="s">
        <v>434</v>
      </c>
      <c r="H36" s="26">
        <v>8</v>
      </c>
      <c r="I36" s="49">
        <v>32.200000000000003</v>
      </c>
      <c r="J36" s="1">
        <f t="shared" si="0"/>
        <v>515.20000000000005</v>
      </c>
      <c r="K36">
        <f>J36*Emission_factor!$C$48</f>
        <v>305.41056000000003</v>
      </c>
    </row>
    <row r="37" spans="1:11" x14ac:dyDescent="0.25">
      <c r="A37" s="1">
        <v>36</v>
      </c>
      <c r="B37" s="1" t="s">
        <v>72</v>
      </c>
      <c r="C37" s="1" t="s">
        <v>412</v>
      </c>
      <c r="D37" s="1" t="s">
        <v>126</v>
      </c>
      <c r="E37" s="1">
        <v>2023</v>
      </c>
      <c r="F37" s="37" t="s">
        <v>435</v>
      </c>
      <c r="G37" s="37" t="s">
        <v>427</v>
      </c>
      <c r="H37" s="26">
        <v>8</v>
      </c>
      <c r="I37" s="49">
        <v>168</v>
      </c>
      <c r="J37" s="1">
        <f t="shared" si="0"/>
        <v>2688</v>
      </c>
      <c r="K37">
        <f>J37*Emission_factor!$C$48</f>
        <v>1593.4464</v>
      </c>
    </row>
    <row r="38" spans="1:11" x14ac:dyDescent="0.25">
      <c r="A38" s="1">
        <v>37</v>
      </c>
      <c r="B38" s="1" t="s">
        <v>72</v>
      </c>
      <c r="C38" s="1" t="s">
        <v>412</v>
      </c>
      <c r="D38" s="1" t="s">
        <v>126</v>
      </c>
      <c r="E38" s="1">
        <v>2023</v>
      </c>
      <c r="F38" s="37" t="s">
        <v>428</v>
      </c>
      <c r="G38" s="37" t="s">
        <v>429</v>
      </c>
      <c r="H38" s="26">
        <v>1</v>
      </c>
      <c r="I38" s="49">
        <v>29.4</v>
      </c>
      <c r="J38" s="1">
        <f t="shared" si="0"/>
        <v>58.8</v>
      </c>
      <c r="K38">
        <f>J38*Emission_factor!$C$48</f>
        <v>34.856639999999999</v>
      </c>
    </row>
    <row r="39" spans="1:11" x14ac:dyDescent="0.25">
      <c r="A39" s="1">
        <v>38</v>
      </c>
      <c r="B39" s="1" t="s">
        <v>72</v>
      </c>
      <c r="C39" s="1" t="s">
        <v>412</v>
      </c>
      <c r="D39" s="1" t="s">
        <v>126</v>
      </c>
      <c r="E39" s="1">
        <v>2023</v>
      </c>
      <c r="F39" s="37" t="s">
        <v>416</v>
      </c>
      <c r="G39" s="37" t="s">
        <v>421</v>
      </c>
      <c r="H39" s="26">
        <v>84</v>
      </c>
      <c r="I39" s="49">
        <v>51</v>
      </c>
      <c r="J39" s="1">
        <f t="shared" si="0"/>
        <v>8568</v>
      </c>
      <c r="K39">
        <f>J39*Emission_factor!$C$48</f>
        <v>5079.1103999999996</v>
      </c>
    </row>
    <row r="40" spans="1:11" x14ac:dyDescent="0.25">
      <c r="A40" s="1">
        <v>39</v>
      </c>
      <c r="B40" s="1" t="s">
        <v>72</v>
      </c>
      <c r="C40" s="1" t="s">
        <v>412</v>
      </c>
      <c r="D40" s="1" t="s">
        <v>126</v>
      </c>
      <c r="E40" s="1">
        <v>2023</v>
      </c>
      <c r="F40" s="37" t="s">
        <v>416</v>
      </c>
      <c r="G40" s="37" t="s">
        <v>421</v>
      </c>
      <c r="H40" s="26">
        <v>25</v>
      </c>
      <c r="I40" s="49">
        <v>51</v>
      </c>
      <c r="J40" s="1">
        <f t="shared" si="0"/>
        <v>2550</v>
      </c>
      <c r="K40">
        <f>J40*Emission_factor!$C$48</f>
        <v>1511.6399999999999</v>
      </c>
    </row>
    <row r="41" spans="1:11" x14ac:dyDescent="0.25">
      <c r="A41" s="1">
        <v>40</v>
      </c>
      <c r="B41" s="1" t="s">
        <v>72</v>
      </c>
      <c r="C41" s="1" t="s">
        <v>412</v>
      </c>
      <c r="D41" s="1" t="s">
        <v>126</v>
      </c>
      <c r="E41" s="1">
        <v>2023</v>
      </c>
      <c r="F41" s="37" t="s">
        <v>416</v>
      </c>
      <c r="G41" s="37" t="s">
        <v>421</v>
      </c>
      <c r="H41" s="26">
        <v>16</v>
      </c>
      <c r="I41" s="49">
        <v>51</v>
      </c>
      <c r="J41" s="1">
        <f t="shared" si="0"/>
        <v>1632</v>
      </c>
      <c r="K41">
        <f>J41*Emission_factor!$C$48</f>
        <v>967.44960000000003</v>
      </c>
    </row>
    <row r="42" spans="1:11" x14ac:dyDescent="0.25">
      <c r="A42" s="1">
        <v>41</v>
      </c>
      <c r="B42" s="1" t="s">
        <v>72</v>
      </c>
      <c r="C42" s="1" t="s">
        <v>412</v>
      </c>
      <c r="D42" s="1" t="s">
        <v>454</v>
      </c>
      <c r="E42" s="1">
        <v>2023</v>
      </c>
      <c r="F42" s="37" t="s">
        <v>414</v>
      </c>
      <c r="G42" s="37" t="s">
        <v>419</v>
      </c>
      <c r="H42" s="34">
        <v>99</v>
      </c>
      <c r="I42" s="50">
        <v>44</v>
      </c>
      <c r="J42" s="1">
        <f t="shared" si="0"/>
        <v>8712</v>
      </c>
      <c r="K42">
        <f>J42*Emission_factor!$C$48</f>
        <v>5164.4736000000003</v>
      </c>
    </row>
    <row r="43" spans="1:11" x14ac:dyDescent="0.25">
      <c r="A43" s="1">
        <v>42</v>
      </c>
      <c r="B43" s="1" t="s">
        <v>72</v>
      </c>
      <c r="C43" s="1" t="s">
        <v>412</v>
      </c>
      <c r="D43" s="1" t="s">
        <v>454</v>
      </c>
      <c r="E43" s="1">
        <v>2023</v>
      </c>
      <c r="F43" s="37" t="s">
        <v>440</v>
      </c>
      <c r="G43" s="37" t="s">
        <v>441</v>
      </c>
      <c r="H43" s="34">
        <v>50</v>
      </c>
      <c r="I43" s="50">
        <v>63.5</v>
      </c>
      <c r="J43" s="1">
        <f t="shared" si="0"/>
        <v>6350</v>
      </c>
      <c r="K43">
        <f>J43*Emission_factor!$C$48</f>
        <v>3764.2799999999997</v>
      </c>
    </row>
    <row r="44" spans="1:11" x14ac:dyDescent="0.25">
      <c r="A44" s="1">
        <v>43</v>
      </c>
      <c r="B44" s="1" t="s">
        <v>72</v>
      </c>
      <c r="C44" s="1" t="s">
        <v>412</v>
      </c>
      <c r="D44" s="1" t="s">
        <v>454</v>
      </c>
      <c r="E44" s="1">
        <v>2023</v>
      </c>
      <c r="F44" s="26" t="s">
        <v>414</v>
      </c>
      <c r="G44" s="26" t="s">
        <v>419</v>
      </c>
      <c r="H44" s="34">
        <v>117</v>
      </c>
      <c r="I44" s="50">
        <v>44</v>
      </c>
      <c r="J44" s="1">
        <f t="shared" si="0"/>
        <v>10296</v>
      </c>
      <c r="K44">
        <f>J44*Emission_factor!$C$48</f>
        <v>6103.4687999999996</v>
      </c>
    </row>
    <row r="45" spans="1:11" x14ac:dyDescent="0.25">
      <c r="A45" s="1">
        <v>44</v>
      </c>
      <c r="B45" s="1" t="s">
        <v>72</v>
      </c>
      <c r="C45" s="1" t="s">
        <v>412</v>
      </c>
      <c r="D45" s="1" t="s">
        <v>454</v>
      </c>
      <c r="E45" s="1">
        <v>2023</v>
      </c>
      <c r="F45" s="26" t="s">
        <v>440</v>
      </c>
      <c r="G45" s="26" t="s">
        <v>441</v>
      </c>
      <c r="H45" s="34">
        <v>49</v>
      </c>
      <c r="I45" s="50">
        <v>63.5</v>
      </c>
      <c r="J45" s="1">
        <f t="shared" si="0"/>
        <v>6223</v>
      </c>
      <c r="K45">
        <f>J45*Emission_factor!$C$48</f>
        <v>3688.9944</v>
      </c>
    </row>
    <row r="46" spans="1:11" x14ac:dyDescent="0.25">
      <c r="A46" s="1">
        <v>45</v>
      </c>
      <c r="B46" s="1" t="s">
        <v>72</v>
      </c>
      <c r="C46" s="1" t="s">
        <v>412</v>
      </c>
      <c r="D46" s="1" t="s">
        <v>454</v>
      </c>
      <c r="E46" s="1">
        <v>2023</v>
      </c>
      <c r="F46" s="26" t="s">
        <v>414</v>
      </c>
      <c r="G46" s="26" t="s">
        <v>419</v>
      </c>
      <c r="H46" s="34">
        <v>210</v>
      </c>
      <c r="I46" s="50">
        <v>44</v>
      </c>
      <c r="J46" s="1">
        <f t="shared" si="0"/>
        <v>18480</v>
      </c>
      <c r="K46">
        <f>J46*Emission_factor!$C$48</f>
        <v>10954.944</v>
      </c>
    </row>
    <row r="47" spans="1:11" x14ac:dyDescent="0.25">
      <c r="A47" s="1">
        <v>46</v>
      </c>
      <c r="B47" s="1" t="s">
        <v>72</v>
      </c>
      <c r="C47" s="1" t="s">
        <v>412</v>
      </c>
      <c r="D47" s="1" t="s">
        <v>454</v>
      </c>
      <c r="E47" s="1">
        <v>2023</v>
      </c>
      <c r="F47" s="26" t="s">
        <v>414</v>
      </c>
      <c r="G47" s="26" t="s">
        <v>419</v>
      </c>
      <c r="H47" s="34">
        <v>3</v>
      </c>
      <c r="I47" s="50">
        <v>44</v>
      </c>
      <c r="J47" s="1">
        <f t="shared" si="0"/>
        <v>264</v>
      </c>
      <c r="K47">
        <f>J47*Emission_factor!$C$48</f>
        <v>156.4992</v>
      </c>
    </row>
    <row r="48" spans="1:11" x14ac:dyDescent="0.25">
      <c r="A48" s="1">
        <v>47</v>
      </c>
      <c r="B48" s="1" t="s">
        <v>72</v>
      </c>
      <c r="C48" s="1" t="s">
        <v>412</v>
      </c>
      <c r="D48" s="1" t="s">
        <v>454</v>
      </c>
      <c r="E48" s="1">
        <v>2023</v>
      </c>
      <c r="F48" s="38" t="s">
        <v>438</v>
      </c>
      <c r="G48" s="26" t="s">
        <v>439</v>
      </c>
      <c r="H48" s="34">
        <v>80</v>
      </c>
      <c r="I48" s="50">
        <v>67.3</v>
      </c>
      <c r="J48" s="1">
        <f t="shared" si="0"/>
        <v>10768</v>
      </c>
      <c r="K48">
        <f>J48*Emission_factor!$C$48</f>
        <v>6383.2704000000003</v>
      </c>
    </row>
    <row r="49" spans="1:11" x14ac:dyDescent="0.25">
      <c r="A49" s="1">
        <v>48</v>
      </c>
      <c r="B49" s="1" t="s">
        <v>72</v>
      </c>
      <c r="C49" s="1" t="s">
        <v>412</v>
      </c>
      <c r="D49" s="1" t="s">
        <v>454</v>
      </c>
      <c r="E49" s="1">
        <v>2023</v>
      </c>
      <c r="F49" s="38" t="s">
        <v>438</v>
      </c>
      <c r="G49" s="26" t="s">
        <v>439</v>
      </c>
      <c r="H49" s="34">
        <v>42</v>
      </c>
      <c r="I49" s="50">
        <v>67.3</v>
      </c>
      <c r="J49" s="1">
        <f t="shared" si="0"/>
        <v>5653.2</v>
      </c>
      <c r="K49">
        <f>J49*Emission_factor!$C$48</f>
        <v>3351.2169599999997</v>
      </c>
    </row>
    <row r="50" spans="1:11" x14ac:dyDescent="0.25">
      <c r="A50" s="1">
        <v>49</v>
      </c>
      <c r="B50" s="1" t="s">
        <v>72</v>
      </c>
      <c r="C50" s="1" t="s">
        <v>412</v>
      </c>
      <c r="D50" s="1" t="s">
        <v>454</v>
      </c>
      <c r="E50" s="1">
        <v>2023</v>
      </c>
      <c r="F50" s="26" t="s">
        <v>422</v>
      </c>
      <c r="G50" s="26" t="s">
        <v>423</v>
      </c>
      <c r="H50" s="34">
        <v>2</v>
      </c>
      <c r="I50" s="50">
        <v>47.1</v>
      </c>
      <c r="J50" s="1">
        <f t="shared" si="0"/>
        <v>188.4</v>
      </c>
      <c r="K50">
        <f>J50*Emission_factor!$C$48</f>
        <v>111.68352</v>
      </c>
    </row>
    <row r="51" spans="1:11" x14ac:dyDescent="0.25">
      <c r="A51" s="1">
        <v>50</v>
      </c>
      <c r="B51" s="1" t="s">
        <v>72</v>
      </c>
      <c r="C51" s="1" t="s">
        <v>412</v>
      </c>
      <c r="D51" s="1" t="s">
        <v>454</v>
      </c>
      <c r="E51" s="1">
        <v>2023</v>
      </c>
      <c r="F51" s="26" t="s">
        <v>422</v>
      </c>
      <c r="G51" s="26" t="s">
        <v>423</v>
      </c>
      <c r="H51" s="34">
        <v>47</v>
      </c>
      <c r="I51" s="50">
        <v>47.1</v>
      </c>
      <c r="J51" s="1">
        <f t="shared" si="0"/>
        <v>4427.4000000000005</v>
      </c>
      <c r="K51">
        <f>J51*Emission_factor!$C$48</f>
        <v>2624.5627200000004</v>
      </c>
    </row>
    <row r="52" spans="1:11" x14ac:dyDescent="0.25">
      <c r="A52" s="1">
        <v>51</v>
      </c>
      <c r="B52" s="1" t="s">
        <v>72</v>
      </c>
      <c r="C52" s="1" t="s">
        <v>412</v>
      </c>
      <c r="D52" s="1" t="s">
        <v>454</v>
      </c>
      <c r="E52" s="1">
        <v>2023</v>
      </c>
      <c r="F52" s="26" t="s">
        <v>442</v>
      </c>
      <c r="G52" s="26" t="s">
        <v>443</v>
      </c>
      <c r="H52" s="34">
        <v>8</v>
      </c>
      <c r="I52" s="50">
        <v>102</v>
      </c>
      <c r="J52" s="1">
        <f t="shared" si="0"/>
        <v>1632</v>
      </c>
      <c r="K52">
        <f>J52*Emission_factor!$C$48</f>
        <v>967.44960000000003</v>
      </c>
    </row>
    <row r="53" spans="1:11" x14ac:dyDescent="0.25">
      <c r="A53" s="1">
        <v>52</v>
      </c>
      <c r="B53" s="1" t="s">
        <v>72</v>
      </c>
      <c r="C53" s="1" t="s">
        <v>412</v>
      </c>
      <c r="D53" s="1" t="s">
        <v>454</v>
      </c>
      <c r="E53" s="1">
        <v>2023</v>
      </c>
      <c r="F53" s="26" t="s">
        <v>422</v>
      </c>
      <c r="G53" s="26" t="s">
        <v>423</v>
      </c>
      <c r="H53" s="34">
        <v>51</v>
      </c>
      <c r="I53" s="50">
        <v>47.1</v>
      </c>
      <c r="J53" s="1">
        <f t="shared" si="0"/>
        <v>4804.2</v>
      </c>
      <c r="K53">
        <f>J53*Emission_factor!$C$48</f>
        <v>2847.92976</v>
      </c>
    </row>
    <row r="54" spans="1:11" x14ac:dyDescent="0.25">
      <c r="A54" s="1">
        <v>53</v>
      </c>
      <c r="B54" s="1" t="s">
        <v>72</v>
      </c>
      <c r="C54" s="1" t="s">
        <v>412</v>
      </c>
      <c r="D54" s="1" t="s">
        <v>454</v>
      </c>
      <c r="E54" s="1">
        <v>2023</v>
      </c>
      <c r="F54" s="38" t="s">
        <v>436</v>
      </c>
      <c r="G54" s="26" t="s">
        <v>437</v>
      </c>
      <c r="H54" s="34">
        <v>51</v>
      </c>
      <c r="I54" s="50">
        <v>73</v>
      </c>
      <c r="J54" s="1">
        <f t="shared" si="0"/>
        <v>7446</v>
      </c>
      <c r="K54">
        <f>J54*Emission_factor!$C$48</f>
        <v>4413.9888000000001</v>
      </c>
    </row>
    <row r="55" spans="1:11" x14ac:dyDescent="0.25">
      <c r="A55" s="1">
        <v>54</v>
      </c>
      <c r="B55" s="1" t="s">
        <v>72</v>
      </c>
      <c r="C55" s="1" t="s">
        <v>412</v>
      </c>
      <c r="D55" s="1" t="s">
        <v>454</v>
      </c>
      <c r="E55" s="1">
        <v>2023</v>
      </c>
      <c r="F55" s="38" t="s">
        <v>436</v>
      </c>
      <c r="G55" s="26" t="s">
        <v>437</v>
      </c>
      <c r="H55" s="34">
        <v>16</v>
      </c>
      <c r="I55" s="50">
        <v>73</v>
      </c>
      <c r="J55" s="1">
        <f t="shared" si="0"/>
        <v>2336</v>
      </c>
      <c r="K55">
        <f>J55*Emission_factor!$C$48</f>
        <v>1384.7808</v>
      </c>
    </row>
    <row r="56" spans="1:11" x14ac:dyDescent="0.25">
      <c r="A56" s="1">
        <v>55</v>
      </c>
      <c r="B56" s="1" t="s">
        <v>72</v>
      </c>
      <c r="C56" s="1" t="s">
        <v>412</v>
      </c>
      <c r="D56" s="1" t="s">
        <v>454</v>
      </c>
      <c r="E56" s="1">
        <v>2023</v>
      </c>
      <c r="F56" s="26" t="s">
        <v>438</v>
      </c>
      <c r="G56" s="26" t="s">
        <v>439</v>
      </c>
      <c r="H56" s="34">
        <v>1</v>
      </c>
      <c r="I56" s="50">
        <v>67.3</v>
      </c>
      <c r="J56" s="1">
        <f t="shared" si="0"/>
        <v>134.6</v>
      </c>
      <c r="K56">
        <f>J56*Emission_factor!$C$48</f>
        <v>79.790880000000001</v>
      </c>
    </row>
    <row r="57" spans="1:11" x14ac:dyDescent="0.25">
      <c r="A57" s="1">
        <v>56</v>
      </c>
      <c r="B57" s="1" t="s">
        <v>72</v>
      </c>
      <c r="C57" s="1" t="s">
        <v>412</v>
      </c>
      <c r="D57" s="1" t="s">
        <v>454</v>
      </c>
      <c r="E57" s="1">
        <v>2023</v>
      </c>
      <c r="F57" s="26" t="s">
        <v>422</v>
      </c>
      <c r="G57" s="26" t="s">
        <v>423</v>
      </c>
      <c r="H57" s="34">
        <v>50</v>
      </c>
      <c r="I57" s="50">
        <v>47.1</v>
      </c>
      <c r="J57" s="1">
        <f t="shared" si="0"/>
        <v>4710</v>
      </c>
      <c r="K57">
        <f>J57*Emission_factor!$C$48</f>
        <v>2792.0880000000002</v>
      </c>
    </row>
    <row r="58" spans="1:11" x14ac:dyDescent="0.25">
      <c r="A58" s="1">
        <v>57</v>
      </c>
      <c r="B58" s="1" t="s">
        <v>72</v>
      </c>
      <c r="C58" s="1" t="s">
        <v>412</v>
      </c>
      <c r="D58" s="1" t="s">
        <v>454</v>
      </c>
      <c r="E58" s="1">
        <v>2023</v>
      </c>
      <c r="F58" s="26" t="s">
        <v>440</v>
      </c>
      <c r="G58" s="26" t="s">
        <v>441</v>
      </c>
      <c r="H58" s="34">
        <v>50</v>
      </c>
      <c r="I58" s="50">
        <v>63.5</v>
      </c>
      <c r="J58" s="1">
        <f t="shared" si="0"/>
        <v>6350</v>
      </c>
      <c r="K58">
        <f>J58*Emission_factor!$C$48</f>
        <v>3764.2799999999997</v>
      </c>
    </row>
    <row r="59" spans="1:11" x14ac:dyDescent="0.25">
      <c r="A59" s="1">
        <v>58</v>
      </c>
      <c r="B59" s="1" t="s">
        <v>72</v>
      </c>
      <c r="C59" s="1" t="s">
        <v>412</v>
      </c>
      <c r="D59" s="1" t="s">
        <v>454</v>
      </c>
      <c r="E59" s="1">
        <v>2023</v>
      </c>
      <c r="F59" s="26" t="s">
        <v>444</v>
      </c>
      <c r="G59" s="26" t="s">
        <v>445</v>
      </c>
      <c r="H59" s="34">
        <v>33</v>
      </c>
      <c r="I59" s="50">
        <v>81.3</v>
      </c>
      <c r="J59" s="1">
        <f t="shared" si="0"/>
        <v>5365.8</v>
      </c>
      <c r="K59">
        <f>J59*Emission_factor!$C$48</f>
        <v>3180.8462399999999</v>
      </c>
    </row>
    <row r="60" spans="1:11" x14ac:dyDescent="0.25">
      <c r="A60" s="1">
        <v>59</v>
      </c>
      <c r="B60" s="1" t="s">
        <v>72</v>
      </c>
      <c r="C60" s="1" t="s">
        <v>412</v>
      </c>
      <c r="D60" s="1" t="s">
        <v>454</v>
      </c>
      <c r="E60" s="1">
        <v>2023</v>
      </c>
      <c r="F60" s="38" t="s">
        <v>436</v>
      </c>
      <c r="G60" s="26" t="s">
        <v>437</v>
      </c>
      <c r="H60" s="34">
        <v>33</v>
      </c>
      <c r="I60" s="50">
        <v>73</v>
      </c>
      <c r="J60" s="1">
        <f t="shared" si="0"/>
        <v>4818</v>
      </c>
      <c r="K60">
        <f>J60*Emission_factor!$C$48</f>
        <v>2856.1104</v>
      </c>
    </row>
    <row r="61" spans="1:11" x14ac:dyDescent="0.25">
      <c r="A61" s="1">
        <v>60</v>
      </c>
      <c r="B61" s="1" t="s">
        <v>72</v>
      </c>
      <c r="C61" s="1" t="s">
        <v>412</v>
      </c>
      <c r="D61" s="1" t="s">
        <v>454</v>
      </c>
      <c r="E61" s="1">
        <v>2023</v>
      </c>
      <c r="F61" s="38" t="s">
        <v>436</v>
      </c>
      <c r="G61" s="26" t="s">
        <v>437</v>
      </c>
      <c r="H61" s="34">
        <v>16</v>
      </c>
      <c r="I61" s="50">
        <v>73</v>
      </c>
      <c r="J61" s="1">
        <f t="shared" si="0"/>
        <v>2336</v>
      </c>
      <c r="K61">
        <f>J61*Emission_factor!$C$48</f>
        <v>1384.7808</v>
      </c>
    </row>
    <row r="62" spans="1:11" x14ac:dyDescent="0.25">
      <c r="A62" s="1">
        <v>61</v>
      </c>
      <c r="B62" s="1" t="s">
        <v>72</v>
      </c>
      <c r="C62" s="1" t="s">
        <v>412</v>
      </c>
      <c r="D62" s="1" t="s">
        <v>454</v>
      </c>
      <c r="E62" s="1">
        <v>2023</v>
      </c>
      <c r="F62" s="26" t="s">
        <v>426</v>
      </c>
      <c r="G62" s="26" t="s">
        <v>427</v>
      </c>
      <c r="H62" s="34">
        <v>33</v>
      </c>
      <c r="I62" s="50">
        <v>168</v>
      </c>
      <c r="J62" s="1">
        <f t="shared" si="0"/>
        <v>11088</v>
      </c>
      <c r="K62">
        <f>J62*Emission_factor!$C$48</f>
        <v>6572.9664000000002</v>
      </c>
    </row>
    <row r="63" spans="1:11" x14ac:dyDescent="0.25">
      <c r="A63" s="1">
        <v>62</v>
      </c>
      <c r="B63" s="1" t="s">
        <v>72</v>
      </c>
      <c r="C63" s="1" t="s">
        <v>412</v>
      </c>
      <c r="D63" s="1" t="s">
        <v>454</v>
      </c>
      <c r="E63" s="1">
        <v>2023</v>
      </c>
      <c r="F63" s="26" t="s">
        <v>422</v>
      </c>
      <c r="G63" s="26" t="s">
        <v>423</v>
      </c>
      <c r="H63" s="34">
        <v>28</v>
      </c>
      <c r="I63" s="50">
        <v>47.1</v>
      </c>
      <c r="J63" s="1">
        <f t="shared" si="0"/>
        <v>2637.6</v>
      </c>
      <c r="K63">
        <f>J63*Emission_factor!$C$48</f>
        <v>1563.5692799999999</v>
      </c>
    </row>
    <row r="64" spans="1:11" x14ac:dyDescent="0.25">
      <c r="A64" s="1">
        <v>63</v>
      </c>
      <c r="B64" s="1" t="s">
        <v>72</v>
      </c>
      <c r="C64" s="1" t="s">
        <v>412</v>
      </c>
      <c r="D64" s="1" t="s">
        <v>454</v>
      </c>
      <c r="E64" s="1">
        <v>2023</v>
      </c>
      <c r="F64" s="38" t="s">
        <v>416</v>
      </c>
      <c r="G64" s="26" t="s">
        <v>421</v>
      </c>
      <c r="H64" s="34">
        <v>85</v>
      </c>
      <c r="I64" s="50">
        <v>51</v>
      </c>
      <c r="J64" s="1">
        <f t="shared" si="0"/>
        <v>8670</v>
      </c>
      <c r="K64">
        <f>J64*Emission_factor!$C$48</f>
        <v>5139.576</v>
      </c>
    </row>
    <row r="65" spans="1:11" x14ac:dyDescent="0.25">
      <c r="A65" s="1">
        <v>64</v>
      </c>
      <c r="B65" s="1" t="s">
        <v>72</v>
      </c>
      <c r="C65" s="1" t="s">
        <v>412</v>
      </c>
      <c r="D65" s="1" t="s">
        <v>454</v>
      </c>
      <c r="E65" s="1">
        <v>2023</v>
      </c>
      <c r="F65" s="38" t="s">
        <v>416</v>
      </c>
      <c r="G65" s="26" t="s">
        <v>421</v>
      </c>
      <c r="H65" s="34">
        <v>20</v>
      </c>
      <c r="I65" s="50">
        <v>51</v>
      </c>
      <c r="J65" s="1">
        <f t="shared" si="0"/>
        <v>2040</v>
      </c>
      <c r="K65">
        <f>J65*Emission_factor!$C$48</f>
        <v>1209.3119999999999</v>
      </c>
    </row>
    <row r="66" spans="1:11" x14ac:dyDescent="0.25">
      <c r="A66" s="1">
        <v>65</v>
      </c>
      <c r="B66" s="1" t="s">
        <v>72</v>
      </c>
      <c r="C66" s="1" t="s">
        <v>412</v>
      </c>
      <c r="D66" s="1" t="s">
        <v>454</v>
      </c>
      <c r="E66" s="1">
        <v>2023</v>
      </c>
      <c r="F66" s="38" t="s">
        <v>416</v>
      </c>
      <c r="G66" s="26" t="s">
        <v>421</v>
      </c>
      <c r="H66" s="34">
        <v>22</v>
      </c>
      <c r="I66" s="50">
        <v>51</v>
      </c>
      <c r="J66" s="1">
        <f t="shared" si="0"/>
        <v>2244</v>
      </c>
      <c r="K66">
        <f>J66*Emission_factor!$C$48</f>
        <v>1330.2431999999999</v>
      </c>
    </row>
    <row r="67" spans="1:11" x14ac:dyDescent="0.25">
      <c r="A67" s="1">
        <v>66</v>
      </c>
      <c r="B67" s="1" t="s">
        <v>72</v>
      </c>
      <c r="C67" s="1" t="s">
        <v>412</v>
      </c>
      <c r="D67" s="1" t="s">
        <v>454</v>
      </c>
      <c r="E67" s="1">
        <v>2023</v>
      </c>
      <c r="F67" s="38" t="s">
        <v>416</v>
      </c>
      <c r="G67" s="26" t="s">
        <v>421</v>
      </c>
      <c r="H67" s="34">
        <v>17</v>
      </c>
      <c r="I67" s="50">
        <v>51</v>
      </c>
      <c r="J67" s="1">
        <f t="shared" ref="J67:J130" si="1">H67*I67*2</f>
        <v>1734</v>
      </c>
      <c r="K67">
        <f>J67*Emission_factor!$C$48</f>
        <v>1027.9151999999999</v>
      </c>
    </row>
    <row r="68" spans="1:11" x14ac:dyDescent="0.25">
      <c r="A68" s="1">
        <v>67</v>
      </c>
      <c r="B68" s="1" t="s">
        <v>72</v>
      </c>
      <c r="C68" s="1" t="s">
        <v>412</v>
      </c>
      <c r="D68" s="1" t="s">
        <v>454</v>
      </c>
      <c r="E68" s="1">
        <v>2023</v>
      </c>
      <c r="F68" s="26" t="s">
        <v>422</v>
      </c>
      <c r="G68" s="26" t="s">
        <v>423</v>
      </c>
      <c r="H68" s="34">
        <v>1</v>
      </c>
      <c r="I68" s="50">
        <v>47.1</v>
      </c>
      <c r="J68" s="1">
        <f t="shared" si="1"/>
        <v>94.2</v>
      </c>
      <c r="K68">
        <f>J68*Emission_factor!$C$48</f>
        <v>55.841760000000001</v>
      </c>
    </row>
    <row r="69" spans="1:11" x14ac:dyDescent="0.25">
      <c r="A69" s="1">
        <v>68</v>
      </c>
      <c r="B69" s="1" t="s">
        <v>72</v>
      </c>
      <c r="C69" s="1" t="s">
        <v>412</v>
      </c>
      <c r="D69" s="1" t="s">
        <v>454</v>
      </c>
      <c r="E69" s="1">
        <v>2023</v>
      </c>
      <c r="F69" s="38" t="s">
        <v>436</v>
      </c>
      <c r="G69" s="26" t="s">
        <v>437</v>
      </c>
      <c r="H69" s="34">
        <v>1</v>
      </c>
      <c r="I69" s="50">
        <v>73</v>
      </c>
      <c r="J69" s="1">
        <f t="shared" si="1"/>
        <v>146</v>
      </c>
      <c r="K69">
        <f>J69*Emission_factor!$C$48</f>
        <v>86.5488</v>
      </c>
    </row>
    <row r="70" spans="1:11" x14ac:dyDescent="0.25">
      <c r="A70" s="1">
        <v>69</v>
      </c>
      <c r="B70" s="1" t="s">
        <v>72</v>
      </c>
      <c r="C70" s="1" t="s">
        <v>412</v>
      </c>
      <c r="D70" s="1" t="s">
        <v>454</v>
      </c>
      <c r="E70" s="1">
        <v>2023</v>
      </c>
      <c r="F70" s="38" t="s">
        <v>436</v>
      </c>
      <c r="G70" s="26" t="s">
        <v>437</v>
      </c>
      <c r="H70" s="34">
        <v>2</v>
      </c>
      <c r="I70" s="50">
        <v>73</v>
      </c>
      <c r="J70" s="1">
        <f t="shared" si="1"/>
        <v>292</v>
      </c>
      <c r="K70">
        <f>J70*Emission_factor!$C$48</f>
        <v>173.0976</v>
      </c>
    </row>
    <row r="71" spans="1:11" x14ac:dyDescent="0.25">
      <c r="A71" s="1">
        <v>70</v>
      </c>
      <c r="B71" s="1" t="s">
        <v>72</v>
      </c>
      <c r="C71" s="1" t="s">
        <v>412</v>
      </c>
      <c r="D71" s="1" t="s">
        <v>454</v>
      </c>
      <c r="E71" s="1">
        <v>2023</v>
      </c>
      <c r="F71" s="26" t="s">
        <v>428</v>
      </c>
      <c r="G71" s="26" t="s">
        <v>429</v>
      </c>
      <c r="H71" s="34">
        <v>16</v>
      </c>
      <c r="I71" s="50">
        <v>29.4</v>
      </c>
      <c r="J71" s="1">
        <f t="shared" si="1"/>
        <v>940.8</v>
      </c>
      <c r="K71">
        <f>J71*Emission_factor!$C$48</f>
        <v>557.70623999999998</v>
      </c>
    </row>
    <row r="72" spans="1:11" x14ac:dyDescent="0.25">
      <c r="A72" s="1">
        <v>71</v>
      </c>
      <c r="B72" s="1" t="s">
        <v>72</v>
      </c>
      <c r="C72" s="1" t="s">
        <v>412</v>
      </c>
      <c r="D72" s="1" t="s">
        <v>454</v>
      </c>
      <c r="E72" s="1">
        <v>2023</v>
      </c>
      <c r="F72" s="26" t="s">
        <v>446</v>
      </c>
      <c r="G72" s="26" t="s">
        <v>447</v>
      </c>
      <c r="H72" s="34">
        <v>8</v>
      </c>
      <c r="I72" s="50">
        <v>65.5</v>
      </c>
      <c r="J72" s="1">
        <f t="shared" si="1"/>
        <v>1048</v>
      </c>
      <c r="K72">
        <f>J72*Emission_factor!$C$48</f>
        <v>621.25440000000003</v>
      </c>
    </row>
    <row r="73" spans="1:11" x14ac:dyDescent="0.25">
      <c r="A73" s="1">
        <v>72</v>
      </c>
      <c r="B73" s="1" t="s">
        <v>72</v>
      </c>
      <c r="C73" s="1" t="s">
        <v>412</v>
      </c>
      <c r="D73" s="1" t="s">
        <v>454</v>
      </c>
      <c r="E73" s="1">
        <v>2023</v>
      </c>
      <c r="F73" s="26" t="s">
        <v>426</v>
      </c>
      <c r="G73" s="26" t="s">
        <v>427</v>
      </c>
      <c r="H73" s="34">
        <v>1</v>
      </c>
      <c r="I73" s="50">
        <v>168</v>
      </c>
      <c r="J73" s="1">
        <f t="shared" si="1"/>
        <v>336</v>
      </c>
      <c r="K73">
        <f>J73*Emission_factor!$C$48</f>
        <v>199.1808</v>
      </c>
    </row>
    <row r="74" spans="1:11" x14ac:dyDescent="0.25">
      <c r="A74" s="1">
        <v>73</v>
      </c>
      <c r="B74" s="1" t="s">
        <v>72</v>
      </c>
      <c r="C74" s="1" t="s">
        <v>412</v>
      </c>
      <c r="D74" s="1" t="s">
        <v>454</v>
      </c>
      <c r="E74" s="1">
        <v>2023</v>
      </c>
      <c r="F74" s="26" t="s">
        <v>428</v>
      </c>
      <c r="G74" s="26" t="s">
        <v>429</v>
      </c>
      <c r="H74" s="34">
        <v>1</v>
      </c>
      <c r="I74" s="50">
        <v>29.4</v>
      </c>
      <c r="J74" s="1">
        <f t="shared" si="1"/>
        <v>58.8</v>
      </c>
      <c r="K74">
        <f>J74*Emission_factor!$C$48</f>
        <v>34.856639999999999</v>
      </c>
    </row>
    <row r="75" spans="1:11" x14ac:dyDescent="0.25">
      <c r="A75" s="1">
        <v>74</v>
      </c>
      <c r="B75" s="1" t="s">
        <v>72</v>
      </c>
      <c r="C75" s="1" t="s">
        <v>412</v>
      </c>
      <c r="D75" s="1" t="s">
        <v>454</v>
      </c>
      <c r="E75" s="1">
        <v>2023</v>
      </c>
      <c r="F75" s="26" t="s">
        <v>446</v>
      </c>
      <c r="G75" s="26" t="s">
        <v>447</v>
      </c>
      <c r="H75" s="34">
        <v>8</v>
      </c>
      <c r="I75" s="50">
        <v>65.5</v>
      </c>
      <c r="J75" s="1">
        <f t="shared" si="1"/>
        <v>1048</v>
      </c>
      <c r="K75">
        <f>J75*Emission_factor!$C$48</f>
        <v>621.25440000000003</v>
      </c>
    </row>
    <row r="76" spans="1:11" x14ac:dyDescent="0.25">
      <c r="A76" s="1">
        <v>75</v>
      </c>
      <c r="B76" s="1" t="s">
        <v>72</v>
      </c>
      <c r="C76" s="1" t="s">
        <v>412</v>
      </c>
      <c r="D76" s="1" t="s">
        <v>454</v>
      </c>
      <c r="E76" s="1">
        <v>2023</v>
      </c>
      <c r="F76" s="38" t="s">
        <v>416</v>
      </c>
      <c r="G76" s="26" t="s">
        <v>421</v>
      </c>
      <c r="H76" s="34">
        <v>2</v>
      </c>
      <c r="I76" s="50">
        <v>51</v>
      </c>
      <c r="J76" s="1">
        <f t="shared" si="1"/>
        <v>204</v>
      </c>
      <c r="K76">
        <f>J76*Emission_factor!$C$48</f>
        <v>120.9312</v>
      </c>
    </row>
    <row r="77" spans="1:11" x14ac:dyDescent="0.25">
      <c r="A77" s="1">
        <v>76</v>
      </c>
      <c r="B77" s="1" t="s">
        <v>72</v>
      </c>
      <c r="C77" s="1" t="s">
        <v>412</v>
      </c>
      <c r="D77" s="1" t="s">
        <v>454</v>
      </c>
      <c r="E77" s="1">
        <v>2023</v>
      </c>
      <c r="F77" s="38" t="s">
        <v>416</v>
      </c>
      <c r="G77" s="26" t="s">
        <v>421</v>
      </c>
      <c r="H77" s="34">
        <v>1</v>
      </c>
      <c r="I77" s="50">
        <v>51</v>
      </c>
      <c r="J77" s="1">
        <f t="shared" si="1"/>
        <v>102</v>
      </c>
      <c r="K77">
        <f>J77*Emission_factor!$C$48</f>
        <v>60.465600000000002</v>
      </c>
    </row>
    <row r="78" spans="1:11" x14ac:dyDescent="0.25">
      <c r="A78" s="1">
        <v>77</v>
      </c>
      <c r="B78" s="1" t="s">
        <v>72</v>
      </c>
      <c r="C78" s="1" t="s">
        <v>412</v>
      </c>
      <c r="D78" s="1" t="s">
        <v>454</v>
      </c>
      <c r="E78" s="1">
        <v>2023</v>
      </c>
      <c r="F78" s="38" t="s">
        <v>416</v>
      </c>
      <c r="G78" s="26" t="s">
        <v>421</v>
      </c>
      <c r="H78" s="34">
        <v>169</v>
      </c>
      <c r="I78" s="50">
        <v>51</v>
      </c>
      <c r="J78" s="1">
        <f t="shared" si="1"/>
        <v>17238</v>
      </c>
      <c r="K78">
        <f>J78*Emission_factor!$C$48</f>
        <v>10218.686400000001</v>
      </c>
    </row>
    <row r="79" spans="1:11" x14ac:dyDescent="0.25">
      <c r="A79" s="1">
        <v>78</v>
      </c>
      <c r="B79" s="1" t="s">
        <v>72</v>
      </c>
      <c r="C79" s="1" t="s">
        <v>412</v>
      </c>
      <c r="D79" s="1" t="s">
        <v>454</v>
      </c>
      <c r="E79" s="1">
        <v>2023</v>
      </c>
      <c r="F79" s="38" t="s">
        <v>416</v>
      </c>
      <c r="G79" s="26" t="s">
        <v>421</v>
      </c>
      <c r="H79" s="34">
        <v>23</v>
      </c>
      <c r="I79" s="50">
        <v>51</v>
      </c>
      <c r="J79" s="1">
        <f t="shared" si="1"/>
        <v>2346</v>
      </c>
      <c r="K79">
        <f>J79*Emission_factor!$C$48</f>
        <v>1390.7087999999999</v>
      </c>
    </row>
    <row r="80" spans="1:11" x14ac:dyDescent="0.25">
      <c r="A80" s="1">
        <v>79</v>
      </c>
      <c r="B80" s="1" t="s">
        <v>72</v>
      </c>
      <c r="C80" s="1" t="s">
        <v>412</v>
      </c>
      <c r="D80" s="1" t="s">
        <v>454</v>
      </c>
      <c r="E80" s="1">
        <v>2023</v>
      </c>
      <c r="F80" s="26" t="s">
        <v>436</v>
      </c>
      <c r="G80" s="26" t="s">
        <v>437</v>
      </c>
      <c r="H80" s="34">
        <v>42</v>
      </c>
      <c r="I80" s="50">
        <v>73</v>
      </c>
      <c r="J80" s="1">
        <f t="shared" si="1"/>
        <v>6132</v>
      </c>
      <c r="K80">
        <f>J80*Emission_factor!$C$48</f>
        <v>3635.0495999999998</v>
      </c>
    </row>
    <row r="81" spans="1:11" x14ac:dyDescent="0.25">
      <c r="A81" s="1">
        <v>80</v>
      </c>
      <c r="B81" s="1" t="s">
        <v>72</v>
      </c>
      <c r="C81" s="1" t="s">
        <v>412</v>
      </c>
      <c r="D81" s="1" t="s">
        <v>454</v>
      </c>
      <c r="E81" s="1">
        <v>2023</v>
      </c>
      <c r="F81" s="38" t="s">
        <v>438</v>
      </c>
      <c r="G81" s="26" t="s">
        <v>439</v>
      </c>
      <c r="H81" s="34">
        <v>42</v>
      </c>
      <c r="I81" s="50">
        <v>67.3</v>
      </c>
      <c r="J81" s="1">
        <f t="shared" si="1"/>
        <v>5653.2</v>
      </c>
      <c r="K81">
        <f>J81*Emission_factor!$C$48</f>
        <v>3351.2169599999997</v>
      </c>
    </row>
    <row r="82" spans="1:11" x14ac:dyDescent="0.25">
      <c r="A82" s="1">
        <v>81</v>
      </c>
      <c r="B82" s="1" t="s">
        <v>72</v>
      </c>
      <c r="C82" s="1" t="s">
        <v>412</v>
      </c>
      <c r="D82" s="1" t="s">
        <v>454</v>
      </c>
      <c r="E82" s="1">
        <v>2023</v>
      </c>
      <c r="F82" s="38" t="s">
        <v>438</v>
      </c>
      <c r="G82" s="26" t="s">
        <v>439</v>
      </c>
      <c r="H82" s="34">
        <v>65</v>
      </c>
      <c r="I82" s="50">
        <v>67.3</v>
      </c>
      <c r="J82" s="1">
        <f t="shared" si="1"/>
        <v>8749</v>
      </c>
      <c r="K82">
        <f>J82*Emission_factor!$C$48</f>
        <v>5186.4071999999996</v>
      </c>
    </row>
    <row r="83" spans="1:11" x14ac:dyDescent="0.25">
      <c r="A83" s="1">
        <v>82</v>
      </c>
      <c r="B83" s="1" t="s">
        <v>72</v>
      </c>
      <c r="C83" s="1" t="s">
        <v>412</v>
      </c>
      <c r="D83" s="1" t="s">
        <v>454</v>
      </c>
      <c r="E83" s="1">
        <v>2023</v>
      </c>
      <c r="F83" s="26" t="s">
        <v>440</v>
      </c>
      <c r="G83" s="26" t="s">
        <v>441</v>
      </c>
      <c r="H83" s="34">
        <v>25</v>
      </c>
      <c r="I83" s="50">
        <v>63.5</v>
      </c>
      <c r="J83" s="1">
        <f t="shared" si="1"/>
        <v>3175</v>
      </c>
      <c r="K83">
        <f>J83*Emission_factor!$C$48</f>
        <v>1882.1399999999999</v>
      </c>
    </row>
    <row r="84" spans="1:11" x14ac:dyDescent="0.25">
      <c r="A84" s="1">
        <v>83</v>
      </c>
      <c r="B84" s="1" t="s">
        <v>72</v>
      </c>
      <c r="C84" s="1" t="s">
        <v>412</v>
      </c>
      <c r="D84" s="1" t="s">
        <v>454</v>
      </c>
      <c r="E84" s="1">
        <v>2023</v>
      </c>
      <c r="F84" s="26" t="s">
        <v>444</v>
      </c>
      <c r="G84" s="26" t="s">
        <v>445</v>
      </c>
      <c r="H84" s="34">
        <v>42</v>
      </c>
      <c r="I84" s="50">
        <v>81.3</v>
      </c>
      <c r="J84" s="1">
        <f t="shared" si="1"/>
        <v>6829.2</v>
      </c>
      <c r="K84">
        <f>J84*Emission_factor!$C$48</f>
        <v>4048.3497600000001</v>
      </c>
    </row>
    <row r="85" spans="1:11" x14ac:dyDescent="0.25">
      <c r="A85" s="1">
        <v>84</v>
      </c>
      <c r="B85" s="1" t="s">
        <v>72</v>
      </c>
      <c r="C85" s="1" t="s">
        <v>412</v>
      </c>
      <c r="D85" s="1" t="s">
        <v>454</v>
      </c>
      <c r="E85" s="1">
        <v>2023</v>
      </c>
      <c r="F85" s="26" t="s">
        <v>416</v>
      </c>
      <c r="G85" s="26" t="s">
        <v>421</v>
      </c>
      <c r="H85" s="34">
        <v>1</v>
      </c>
      <c r="I85" s="50">
        <v>51</v>
      </c>
      <c r="J85" s="1">
        <f t="shared" si="1"/>
        <v>102</v>
      </c>
      <c r="K85">
        <f>J85*Emission_factor!$C$48</f>
        <v>60.465600000000002</v>
      </c>
    </row>
    <row r="86" spans="1:11" x14ac:dyDescent="0.25">
      <c r="A86" s="1">
        <v>85</v>
      </c>
      <c r="B86" s="1" t="s">
        <v>72</v>
      </c>
      <c r="C86" s="1" t="s">
        <v>412</v>
      </c>
      <c r="D86" s="1" t="s">
        <v>454</v>
      </c>
      <c r="E86" s="1">
        <v>2023</v>
      </c>
      <c r="F86" s="26" t="s">
        <v>448</v>
      </c>
      <c r="G86" s="26" t="s">
        <v>449</v>
      </c>
      <c r="H86" s="34">
        <v>8</v>
      </c>
      <c r="I86" s="50">
        <v>73.2</v>
      </c>
      <c r="J86" s="1">
        <f t="shared" si="1"/>
        <v>1171.2</v>
      </c>
      <c r="K86">
        <f>J86*Emission_factor!$C$48</f>
        <v>694.28736000000004</v>
      </c>
    </row>
    <row r="87" spans="1:11" x14ac:dyDescent="0.25">
      <c r="A87" s="1">
        <v>86</v>
      </c>
      <c r="B87" s="1" t="s">
        <v>72</v>
      </c>
      <c r="C87" s="1" t="s">
        <v>412</v>
      </c>
      <c r="D87" s="1" t="s">
        <v>454</v>
      </c>
      <c r="E87" s="1">
        <v>2023</v>
      </c>
      <c r="F87" s="38" t="s">
        <v>438</v>
      </c>
      <c r="G87" s="26" t="s">
        <v>439</v>
      </c>
      <c r="H87" s="34">
        <v>1</v>
      </c>
      <c r="I87" s="50">
        <v>67.3</v>
      </c>
      <c r="J87" s="1">
        <f t="shared" si="1"/>
        <v>134.6</v>
      </c>
      <c r="K87">
        <f>J87*Emission_factor!$C$48</f>
        <v>79.790880000000001</v>
      </c>
    </row>
    <row r="88" spans="1:11" x14ac:dyDescent="0.25">
      <c r="A88" s="1">
        <v>87</v>
      </c>
      <c r="B88" s="1" t="s">
        <v>72</v>
      </c>
      <c r="C88" s="1" t="s">
        <v>412</v>
      </c>
      <c r="D88" s="1" t="s">
        <v>454</v>
      </c>
      <c r="E88" s="1">
        <v>2023</v>
      </c>
      <c r="F88" s="38" t="s">
        <v>438</v>
      </c>
      <c r="G88" s="26" t="s">
        <v>439</v>
      </c>
      <c r="H88" s="34">
        <v>24</v>
      </c>
      <c r="I88" s="50">
        <v>67.3</v>
      </c>
      <c r="J88" s="1">
        <f t="shared" si="1"/>
        <v>3230.3999999999996</v>
      </c>
      <c r="K88">
        <f>J88*Emission_factor!$C$48</f>
        <v>1914.9811199999997</v>
      </c>
    </row>
    <row r="89" spans="1:11" x14ac:dyDescent="0.25">
      <c r="A89" s="1">
        <v>88</v>
      </c>
      <c r="B89" s="1" t="s">
        <v>72</v>
      </c>
      <c r="C89" s="1" t="s">
        <v>412</v>
      </c>
      <c r="D89" s="1" t="s">
        <v>454</v>
      </c>
      <c r="E89" s="1">
        <v>2023</v>
      </c>
      <c r="F89" s="26" t="s">
        <v>440</v>
      </c>
      <c r="G89" s="26" t="s">
        <v>441</v>
      </c>
      <c r="H89" s="34">
        <v>40</v>
      </c>
      <c r="I89" s="50">
        <v>63.5</v>
      </c>
      <c r="J89" s="1">
        <f t="shared" si="1"/>
        <v>5080</v>
      </c>
      <c r="K89">
        <f>J89*Emission_factor!$C$48</f>
        <v>3011.424</v>
      </c>
    </row>
    <row r="90" spans="1:11" x14ac:dyDescent="0.25">
      <c r="A90" s="1">
        <v>89</v>
      </c>
      <c r="B90" s="1" t="s">
        <v>72</v>
      </c>
      <c r="C90" s="1" t="s">
        <v>412</v>
      </c>
      <c r="D90" s="1" t="s">
        <v>454</v>
      </c>
      <c r="E90" s="1">
        <v>2023</v>
      </c>
      <c r="F90" s="38" t="s">
        <v>444</v>
      </c>
      <c r="G90" s="26" t="s">
        <v>445</v>
      </c>
      <c r="H90" s="34">
        <v>1</v>
      </c>
      <c r="I90" s="50">
        <v>81.3</v>
      </c>
      <c r="J90" s="1">
        <f t="shared" si="1"/>
        <v>162.6</v>
      </c>
      <c r="K90">
        <f>J90*Emission_factor!$C$48</f>
        <v>96.389279999999999</v>
      </c>
    </row>
    <row r="91" spans="1:11" x14ac:dyDescent="0.25">
      <c r="A91" s="1">
        <v>90</v>
      </c>
      <c r="B91" s="1" t="s">
        <v>72</v>
      </c>
      <c r="C91" s="1" t="s">
        <v>412</v>
      </c>
      <c r="D91" s="1" t="s">
        <v>454</v>
      </c>
      <c r="E91" s="1">
        <v>2023</v>
      </c>
      <c r="F91" s="38" t="s">
        <v>444</v>
      </c>
      <c r="G91" s="26" t="s">
        <v>445</v>
      </c>
      <c r="H91" s="34">
        <v>66</v>
      </c>
      <c r="I91" s="50">
        <v>81.3</v>
      </c>
      <c r="J91" s="1">
        <f t="shared" si="1"/>
        <v>10731.6</v>
      </c>
      <c r="K91">
        <f>J91*Emission_factor!$C$48</f>
        <v>6361.6924799999997</v>
      </c>
    </row>
    <row r="92" spans="1:11" x14ac:dyDescent="0.25">
      <c r="A92" s="1">
        <v>91</v>
      </c>
      <c r="B92" s="1" t="s">
        <v>72</v>
      </c>
      <c r="C92" s="1" t="s">
        <v>412</v>
      </c>
      <c r="D92" s="1" t="s">
        <v>454</v>
      </c>
      <c r="E92" s="1">
        <v>2023</v>
      </c>
      <c r="F92" s="26" t="s">
        <v>450</v>
      </c>
      <c r="G92" s="26" t="s">
        <v>451</v>
      </c>
      <c r="H92" s="34">
        <v>8</v>
      </c>
      <c r="I92" s="50">
        <v>47.4</v>
      </c>
      <c r="J92" s="1">
        <f t="shared" si="1"/>
        <v>758.4</v>
      </c>
      <c r="K92">
        <f>J92*Emission_factor!$C$48</f>
        <v>449.57952</v>
      </c>
    </row>
    <row r="93" spans="1:11" x14ac:dyDescent="0.25">
      <c r="A93" s="1">
        <v>92</v>
      </c>
      <c r="B93" s="1" t="s">
        <v>72</v>
      </c>
      <c r="C93" s="1" t="s">
        <v>412</v>
      </c>
      <c r="D93" s="1" t="s">
        <v>454</v>
      </c>
      <c r="E93" s="1">
        <v>2023</v>
      </c>
      <c r="F93" s="26" t="s">
        <v>436</v>
      </c>
      <c r="G93" s="26" t="s">
        <v>437</v>
      </c>
      <c r="H93" s="34">
        <v>43</v>
      </c>
      <c r="I93" s="50">
        <v>73</v>
      </c>
      <c r="J93" s="1">
        <f t="shared" si="1"/>
        <v>6278</v>
      </c>
      <c r="K93">
        <f>J93*Emission_factor!$C$48</f>
        <v>3721.5983999999999</v>
      </c>
    </row>
    <row r="94" spans="1:11" x14ac:dyDescent="0.25">
      <c r="A94" s="1">
        <v>93</v>
      </c>
      <c r="B94" s="1" t="s">
        <v>72</v>
      </c>
      <c r="C94" s="1" t="s">
        <v>412</v>
      </c>
      <c r="D94" s="1" t="s">
        <v>454</v>
      </c>
      <c r="E94" s="1">
        <v>2023</v>
      </c>
      <c r="F94" s="26" t="s">
        <v>440</v>
      </c>
      <c r="G94" s="26" t="s">
        <v>441</v>
      </c>
      <c r="H94" s="34">
        <v>33</v>
      </c>
      <c r="I94" s="50">
        <v>63.5</v>
      </c>
      <c r="J94" s="1">
        <f t="shared" si="1"/>
        <v>4191</v>
      </c>
      <c r="K94">
        <f>J94*Emission_factor!$C$48</f>
        <v>2484.4247999999998</v>
      </c>
    </row>
    <row r="95" spans="1:11" x14ac:dyDescent="0.25">
      <c r="A95" s="1">
        <v>94</v>
      </c>
      <c r="B95" s="1" t="s">
        <v>72</v>
      </c>
      <c r="C95" s="1" t="s">
        <v>412</v>
      </c>
      <c r="D95" s="1" t="s">
        <v>454</v>
      </c>
      <c r="E95" s="1">
        <v>2023</v>
      </c>
      <c r="F95" s="26" t="s">
        <v>444</v>
      </c>
      <c r="G95" s="26" t="s">
        <v>445</v>
      </c>
      <c r="H95" s="34">
        <v>3</v>
      </c>
      <c r="I95" s="50">
        <v>81.3</v>
      </c>
      <c r="J95" s="1">
        <f t="shared" si="1"/>
        <v>487.79999999999995</v>
      </c>
      <c r="K95">
        <f>J95*Emission_factor!$C$48</f>
        <v>289.16783999999996</v>
      </c>
    </row>
    <row r="96" spans="1:11" x14ac:dyDescent="0.25">
      <c r="A96" s="1">
        <v>95</v>
      </c>
      <c r="B96" s="1" t="s">
        <v>72</v>
      </c>
      <c r="C96" s="1" t="s">
        <v>412</v>
      </c>
      <c r="D96" s="1" t="s">
        <v>454</v>
      </c>
      <c r="E96" s="1">
        <v>2023</v>
      </c>
      <c r="F96" s="26" t="s">
        <v>448</v>
      </c>
      <c r="G96" s="26" t="s">
        <v>449</v>
      </c>
      <c r="H96" s="34">
        <v>8</v>
      </c>
      <c r="I96" s="50">
        <v>73.2</v>
      </c>
      <c r="J96" s="1">
        <f t="shared" si="1"/>
        <v>1171.2</v>
      </c>
      <c r="K96">
        <f>J96*Emission_factor!$C$48</f>
        <v>694.28736000000004</v>
      </c>
    </row>
    <row r="97" spans="1:11" x14ac:dyDescent="0.25">
      <c r="A97" s="1">
        <v>96</v>
      </c>
      <c r="B97" s="1" t="s">
        <v>72</v>
      </c>
      <c r="C97" s="1" t="s">
        <v>412</v>
      </c>
      <c r="D97" s="1" t="s">
        <v>454</v>
      </c>
      <c r="E97" s="1">
        <v>2023</v>
      </c>
      <c r="F97" s="26" t="s">
        <v>428</v>
      </c>
      <c r="G97" s="26" t="s">
        <v>429</v>
      </c>
      <c r="H97" s="34">
        <v>8</v>
      </c>
      <c r="I97" s="50">
        <v>29.4</v>
      </c>
      <c r="J97" s="1">
        <f t="shared" si="1"/>
        <v>470.4</v>
      </c>
      <c r="K97">
        <f>J97*Emission_factor!$C$48</f>
        <v>278.85311999999999</v>
      </c>
    </row>
    <row r="98" spans="1:11" x14ac:dyDescent="0.25">
      <c r="A98" s="1">
        <v>97</v>
      </c>
      <c r="B98" s="1" t="s">
        <v>72</v>
      </c>
      <c r="C98" s="1" t="s">
        <v>412</v>
      </c>
      <c r="D98" s="1" t="s">
        <v>454</v>
      </c>
      <c r="E98" s="1">
        <v>2023</v>
      </c>
      <c r="F98" s="26" t="s">
        <v>438</v>
      </c>
      <c r="G98" s="26" t="s">
        <v>439</v>
      </c>
      <c r="H98" s="34">
        <v>47</v>
      </c>
      <c r="I98" s="50">
        <v>67.3</v>
      </c>
      <c r="J98" s="1">
        <f t="shared" si="1"/>
        <v>6326.2</v>
      </c>
      <c r="K98">
        <f>J98*Emission_factor!$C$48</f>
        <v>3750.1713599999998</v>
      </c>
    </row>
    <row r="99" spans="1:11" x14ac:dyDescent="0.25">
      <c r="A99" s="1">
        <v>98</v>
      </c>
      <c r="B99" s="1" t="s">
        <v>72</v>
      </c>
      <c r="C99" s="1" t="s">
        <v>412</v>
      </c>
      <c r="D99" s="1" t="s">
        <v>454</v>
      </c>
      <c r="E99" s="1">
        <v>2023</v>
      </c>
      <c r="F99" s="26" t="s">
        <v>428</v>
      </c>
      <c r="G99" s="26" t="s">
        <v>429</v>
      </c>
      <c r="H99" s="34">
        <v>170</v>
      </c>
      <c r="I99" s="50">
        <v>29.4</v>
      </c>
      <c r="J99" s="1">
        <f t="shared" si="1"/>
        <v>9996</v>
      </c>
      <c r="K99">
        <f>J99*Emission_factor!$C$48</f>
        <v>5925.6287999999995</v>
      </c>
    </row>
    <row r="100" spans="1:11" x14ac:dyDescent="0.25">
      <c r="A100" s="1">
        <v>99</v>
      </c>
      <c r="B100" s="1" t="s">
        <v>72</v>
      </c>
      <c r="C100" s="1" t="s">
        <v>412</v>
      </c>
      <c r="D100" s="1" t="s">
        <v>454</v>
      </c>
      <c r="E100" s="1">
        <v>2023</v>
      </c>
      <c r="F100" s="38" t="s">
        <v>438</v>
      </c>
      <c r="G100" s="26" t="s">
        <v>439</v>
      </c>
      <c r="H100" s="34">
        <v>1</v>
      </c>
      <c r="I100" s="50">
        <v>67.3</v>
      </c>
      <c r="J100" s="1">
        <f t="shared" si="1"/>
        <v>134.6</v>
      </c>
      <c r="K100">
        <f>J100*Emission_factor!$C$48</f>
        <v>79.790880000000001</v>
      </c>
    </row>
    <row r="101" spans="1:11" x14ac:dyDescent="0.25">
      <c r="A101" s="1">
        <v>100</v>
      </c>
      <c r="B101" s="1" t="s">
        <v>72</v>
      </c>
      <c r="C101" s="1" t="s">
        <v>412</v>
      </c>
      <c r="D101" s="1" t="s">
        <v>454</v>
      </c>
      <c r="E101" s="1">
        <v>2023</v>
      </c>
      <c r="F101" s="38" t="s">
        <v>438</v>
      </c>
      <c r="G101" s="26" t="s">
        <v>439</v>
      </c>
      <c r="H101" s="34">
        <v>36</v>
      </c>
      <c r="I101" s="50">
        <v>67.3</v>
      </c>
      <c r="J101" s="1">
        <f t="shared" si="1"/>
        <v>4845.5999999999995</v>
      </c>
      <c r="K101">
        <f>J101*Emission_factor!$C$48</f>
        <v>2872.4716799999997</v>
      </c>
    </row>
    <row r="102" spans="1:11" x14ac:dyDescent="0.25">
      <c r="A102" s="1">
        <v>101</v>
      </c>
      <c r="B102" s="1" t="s">
        <v>72</v>
      </c>
      <c r="C102" s="1" t="s">
        <v>412</v>
      </c>
      <c r="D102" s="1" t="s">
        <v>454</v>
      </c>
      <c r="E102" s="1">
        <v>2023</v>
      </c>
      <c r="F102" s="38" t="s">
        <v>428</v>
      </c>
      <c r="G102" s="26" t="s">
        <v>429</v>
      </c>
      <c r="H102" s="34">
        <v>1</v>
      </c>
      <c r="I102" s="50">
        <v>29.4</v>
      </c>
      <c r="J102" s="1">
        <f t="shared" si="1"/>
        <v>58.8</v>
      </c>
      <c r="K102">
        <f>J102*Emission_factor!$C$48</f>
        <v>34.856639999999999</v>
      </c>
    </row>
    <row r="103" spans="1:11" x14ac:dyDescent="0.25">
      <c r="A103" s="1">
        <v>102</v>
      </c>
      <c r="B103" s="1" t="s">
        <v>72</v>
      </c>
      <c r="C103" s="1" t="s">
        <v>412</v>
      </c>
      <c r="D103" s="1" t="s">
        <v>454</v>
      </c>
      <c r="E103" s="1">
        <v>2023</v>
      </c>
      <c r="F103" s="38" t="s">
        <v>428</v>
      </c>
      <c r="G103" s="26" t="s">
        <v>429</v>
      </c>
      <c r="H103" s="34">
        <v>8</v>
      </c>
      <c r="I103" s="50">
        <v>29.4</v>
      </c>
      <c r="J103" s="1">
        <f t="shared" si="1"/>
        <v>470.4</v>
      </c>
      <c r="K103">
        <f>J103*Emission_factor!$C$48</f>
        <v>278.85311999999999</v>
      </c>
    </row>
    <row r="104" spans="1:11" x14ac:dyDescent="0.25">
      <c r="A104" s="1">
        <v>103</v>
      </c>
      <c r="B104" s="1" t="s">
        <v>72</v>
      </c>
      <c r="C104" s="1" t="s">
        <v>412</v>
      </c>
      <c r="D104" s="1" t="s">
        <v>454</v>
      </c>
      <c r="E104" s="1">
        <v>2023</v>
      </c>
      <c r="F104" s="38" t="s">
        <v>416</v>
      </c>
      <c r="G104" s="26" t="s">
        <v>421</v>
      </c>
      <c r="H104" s="34">
        <v>25</v>
      </c>
      <c r="I104" s="50">
        <v>51</v>
      </c>
      <c r="J104" s="1">
        <f t="shared" si="1"/>
        <v>2550</v>
      </c>
      <c r="K104">
        <f>J104*Emission_factor!$C$48</f>
        <v>1511.6399999999999</v>
      </c>
    </row>
    <row r="105" spans="1:11" x14ac:dyDescent="0.25">
      <c r="A105" s="1">
        <v>104</v>
      </c>
      <c r="B105" s="1" t="s">
        <v>72</v>
      </c>
      <c r="C105" s="1" t="s">
        <v>412</v>
      </c>
      <c r="D105" s="1" t="s">
        <v>454</v>
      </c>
      <c r="E105" s="1">
        <v>2023</v>
      </c>
      <c r="F105" s="38" t="s">
        <v>416</v>
      </c>
      <c r="G105" s="26" t="s">
        <v>421</v>
      </c>
      <c r="H105" s="34">
        <v>42</v>
      </c>
      <c r="I105" s="50">
        <v>51</v>
      </c>
      <c r="J105" s="1">
        <f t="shared" si="1"/>
        <v>4284</v>
      </c>
      <c r="K105">
        <f>J105*Emission_factor!$C$48</f>
        <v>2539.5551999999998</v>
      </c>
    </row>
    <row r="106" spans="1:11" x14ac:dyDescent="0.25">
      <c r="A106" s="1">
        <v>105</v>
      </c>
      <c r="B106" s="1" t="s">
        <v>72</v>
      </c>
      <c r="C106" s="1" t="s">
        <v>412</v>
      </c>
      <c r="D106" s="1" t="s">
        <v>454</v>
      </c>
      <c r="E106" s="1">
        <v>2023</v>
      </c>
      <c r="F106" s="26" t="s">
        <v>426</v>
      </c>
      <c r="G106" s="26" t="s">
        <v>427</v>
      </c>
      <c r="H106" s="34">
        <v>42</v>
      </c>
      <c r="I106" s="50">
        <v>168</v>
      </c>
      <c r="J106" s="1">
        <f t="shared" si="1"/>
        <v>14112</v>
      </c>
      <c r="K106">
        <f>J106*Emission_factor!$C$48</f>
        <v>8365.5936000000002</v>
      </c>
    </row>
    <row r="107" spans="1:11" x14ac:dyDescent="0.25">
      <c r="A107" s="1">
        <v>106</v>
      </c>
      <c r="B107" s="1" t="s">
        <v>72</v>
      </c>
      <c r="C107" s="1" t="s">
        <v>412</v>
      </c>
      <c r="D107" s="1" t="s">
        <v>454</v>
      </c>
      <c r="E107" s="1">
        <v>2023</v>
      </c>
      <c r="F107" s="26" t="s">
        <v>438</v>
      </c>
      <c r="G107" s="26" t="s">
        <v>439</v>
      </c>
      <c r="H107" s="34">
        <v>1</v>
      </c>
      <c r="I107" s="50">
        <v>67.3</v>
      </c>
      <c r="J107" s="1">
        <f t="shared" si="1"/>
        <v>134.6</v>
      </c>
      <c r="K107">
        <f>J107*Emission_factor!$C$48</f>
        <v>79.790880000000001</v>
      </c>
    </row>
    <row r="108" spans="1:11" x14ac:dyDescent="0.25">
      <c r="A108" s="1">
        <v>107</v>
      </c>
      <c r="B108" s="1" t="s">
        <v>72</v>
      </c>
      <c r="C108" s="1" t="s">
        <v>412</v>
      </c>
      <c r="D108" s="1" t="s">
        <v>454</v>
      </c>
      <c r="E108" s="1">
        <v>2023</v>
      </c>
      <c r="F108" s="38" t="s">
        <v>452</v>
      </c>
      <c r="G108" s="26" t="s">
        <v>453</v>
      </c>
      <c r="H108" s="34">
        <v>29</v>
      </c>
      <c r="I108" s="50">
        <v>76.099999999999994</v>
      </c>
      <c r="J108" s="1">
        <f t="shared" si="1"/>
        <v>4413.7999999999993</v>
      </c>
      <c r="K108">
        <f>J108*Emission_factor!$C$48</f>
        <v>2616.5006399999997</v>
      </c>
    </row>
    <row r="109" spans="1:11" x14ac:dyDescent="0.25">
      <c r="A109" s="1">
        <v>108</v>
      </c>
      <c r="B109" s="1" t="s">
        <v>72</v>
      </c>
      <c r="C109" s="1" t="s">
        <v>412</v>
      </c>
      <c r="D109" s="1" t="s">
        <v>454</v>
      </c>
      <c r="E109" s="1">
        <v>2023</v>
      </c>
      <c r="F109" s="38" t="s">
        <v>452</v>
      </c>
      <c r="G109" s="26" t="s">
        <v>453</v>
      </c>
      <c r="H109" s="34">
        <v>182</v>
      </c>
      <c r="I109" s="50">
        <v>76.099999999999994</v>
      </c>
      <c r="J109" s="1">
        <f t="shared" si="1"/>
        <v>27700.399999999998</v>
      </c>
      <c r="K109">
        <f>J109*Emission_factor!$C$48</f>
        <v>16420.797119999999</v>
      </c>
    </row>
    <row r="110" spans="1:11" x14ac:dyDescent="0.25">
      <c r="A110" s="1">
        <v>109</v>
      </c>
      <c r="B110" s="1" t="s">
        <v>72</v>
      </c>
      <c r="C110" s="1" t="s">
        <v>412</v>
      </c>
      <c r="D110" s="1" t="s">
        <v>127</v>
      </c>
      <c r="E110" s="1">
        <v>2023</v>
      </c>
      <c r="F110" s="37" t="s">
        <v>436</v>
      </c>
      <c r="G110" s="37" t="s">
        <v>437</v>
      </c>
      <c r="H110" s="34">
        <v>41</v>
      </c>
      <c r="I110" s="50">
        <v>75</v>
      </c>
      <c r="J110" s="1">
        <f t="shared" si="1"/>
        <v>6150</v>
      </c>
      <c r="K110">
        <f>J110*Emission_factor!$C$48</f>
        <v>3645.72</v>
      </c>
    </row>
    <row r="111" spans="1:11" x14ac:dyDescent="0.25">
      <c r="A111" s="1">
        <v>110</v>
      </c>
      <c r="B111" s="1" t="s">
        <v>72</v>
      </c>
      <c r="C111" s="1" t="s">
        <v>412</v>
      </c>
      <c r="D111" s="1" t="s">
        <v>127</v>
      </c>
      <c r="E111" s="1">
        <v>2023</v>
      </c>
      <c r="F111" s="37" t="s">
        <v>438</v>
      </c>
      <c r="G111" s="37" t="s">
        <v>439</v>
      </c>
      <c r="H111" s="34">
        <v>83</v>
      </c>
      <c r="I111" s="50">
        <v>67.3</v>
      </c>
      <c r="J111" s="1">
        <f t="shared" si="1"/>
        <v>11171.8</v>
      </c>
      <c r="K111">
        <f>J111*Emission_factor!$C$48</f>
        <v>6622.6430399999999</v>
      </c>
    </row>
    <row r="112" spans="1:11" x14ac:dyDescent="0.25">
      <c r="A112" s="1">
        <v>111</v>
      </c>
      <c r="B112" s="1" t="s">
        <v>72</v>
      </c>
      <c r="C112" s="1" t="s">
        <v>412</v>
      </c>
      <c r="D112" s="1" t="s">
        <v>127</v>
      </c>
      <c r="E112" s="1">
        <v>2023</v>
      </c>
      <c r="F112" s="37" t="s">
        <v>428</v>
      </c>
      <c r="G112" s="37" t="s">
        <v>429</v>
      </c>
      <c r="H112" s="34">
        <v>30</v>
      </c>
      <c r="I112" s="50">
        <v>29.4</v>
      </c>
      <c r="J112" s="1">
        <f t="shared" si="1"/>
        <v>1764</v>
      </c>
      <c r="K112">
        <f>J112*Emission_factor!$C$48</f>
        <v>1045.6992</v>
      </c>
    </row>
    <row r="113" spans="1:11" x14ac:dyDescent="0.25">
      <c r="A113" s="1">
        <v>112</v>
      </c>
      <c r="B113" s="1" t="s">
        <v>72</v>
      </c>
      <c r="C113" s="1" t="s">
        <v>412</v>
      </c>
      <c r="D113" s="1" t="s">
        <v>127</v>
      </c>
      <c r="E113" s="1">
        <v>2023</v>
      </c>
      <c r="F113" s="37" t="s">
        <v>438</v>
      </c>
      <c r="G113" s="37" t="s">
        <v>439</v>
      </c>
      <c r="H113" s="34">
        <v>1</v>
      </c>
      <c r="I113" s="50">
        <v>67.3</v>
      </c>
      <c r="J113" s="1">
        <f t="shared" si="1"/>
        <v>134.6</v>
      </c>
      <c r="K113">
        <f>J113*Emission_factor!$C$48</f>
        <v>79.790880000000001</v>
      </c>
    </row>
    <row r="114" spans="1:11" x14ac:dyDescent="0.25">
      <c r="A114" s="1">
        <v>113</v>
      </c>
      <c r="B114" s="1" t="s">
        <v>72</v>
      </c>
      <c r="C114" s="1" t="s">
        <v>412</v>
      </c>
      <c r="D114" s="1" t="s">
        <v>127</v>
      </c>
      <c r="E114" s="1">
        <v>2023</v>
      </c>
      <c r="F114" s="37" t="s">
        <v>422</v>
      </c>
      <c r="G114" s="37" t="s">
        <v>423</v>
      </c>
      <c r="H114" s="34">
        <v>52</v>
      </c>
      <c r="I114" s="50">
        <v>47.1</v>
      </c>
      <c r="J114" s="1">
        <f t="shared" si="1"/>
        <v>4898.4000000000005</v>
      </c>
      <c r="K114">
        <f>J114*Emission_factor!$C$48</f>
        <v>2903.7715200000002</v>
      </c>
    </row>
    <row r="115" spans="1:11" x14ac:dyDescent="0.25">
      <c r="A115" s="1">
        <v>114</v>
      </c>
      <c r="B115" s="1" t="s">
        <v>72</v>
      </c>
      <c r="C115" s="1" t="s">
        <v>412</v>
      </c>
      <c r="D115" s="1" t="s">
        <v>127</v>
      </c>
      <c r="E115" s="1">
        <v>2023</v>
      </c>
      <c r="F115" s="37" t="s">
        <v>422</v>
      </c>
      <c r="G115" s="37" t="s">
        <v>423</v>
      </c>
      <c r="H115" s="34">
        <v>58</v>
      </c>
      <c r="I115" s="50">
        <v>47.1</v>
      </c>
      <c r="J115" s="1">
        <f t="shared" si="1"/>
        <v>5463.6</v>
      </c>
      <c r="K115">
        <f>J115*Emission_factor!$C$48</f>
        <v>3238.8220800000004</v>
      </c>
    </row>
    <row r="116" spans="1:11" x14ac:dyDescent="0.25">
      <c r="A116" s="1">
        <v>115</v>
      </c>
      <c r="B116" s="1" t="s">
        <v>72</v>
      </c>
      <c r="C116" s="1" t="s">
        <v>412</v>
      </c>
      <c r="D116" s="1" t="s">
        <v>127</v>
      </c>
      <c r="E116" s="1">
        <v>2023</v>
      </c>
      <c r="F116" s="37" t="s">
        <v>428</v>
      </c>
      <c r="G116" s="37" t="s">
        <v>429</v>
      </c>
      <c r="H116" s="34">
        <v>28</v>
      </c>
      <c r="I116" s="50">
        <v>29.4</v>
      </c>
      <c r="J116" s="1">
        <f t="shared" si="1"/>
        <v>1646.3999999999999</v>
      </c>
      <c r="K116">
        <f>J116*Emission_factor!$C$48</f>
        <v>975.98591999999996</v>
      </c>
    </row>
    <row r="117" spans="1:11" x14ac:dyDescent="0.25">
      <c r="A117" s="1">
        <v>116</v>
      </c>
      <c r="B117" s="1" t="s">
        <v>72</v>
      </c>
      <c r="C117" s="1" t="s">
        <v>412</v>
      </c>
      <c r="D117" s="1" t="s">
        <v>127</v>
      </c>
      <c r="E117" s="1">
        <v>2023</v>
      </c>
      <c r="F117" s="37" t="s">
        <v>422</v>
      </c>
      <c r="G117" s="37" t="s">
        <v>423</v>
      </c>
      <c r="H117" s="34">
        <v>49</v>
      </c>
      <c r="I117" s="50">
        <v>47.1</v>
      </c>
      <c r="J117" s="1">
        <f t="shared" si="1"/>
        <v>4615.8</v>
      </c>
      <c r="K117">
        <f>J117*Emission_factor!$C$48</f>
        <v>2736.2462399999999</v>
      </c>
    </row>
    <row r="118" spans="1:11" x14ac:dyDescent="0.25">
      <c r="A118" s="1">
        <v>117</v>
      </c>
      <c r="B118" s="1" t="s">
        <v>72</v>
      </c>
      <c r="C118" s="1" t="s">
        <v>412</v>
      </c>
      <c r="D118" s="1" t="s">
        <v>127</v>
      </c>
      <c r="E118" s="1">
        <v>2023</v>
      </c>
      <c r="F118" s="37" t="s">
        <v>416</v>
      </c>
      <c r="G118" s="37" t="s">
        <v>421</v>
      </c>
      <c r="H118" s="34">
        <v>119</v>
      </c>
      <c r="I118" s="50">
        <v>51</v>
      </c>
      <c r="J118" s="1">
        <f t="shared" si="1"/>
        <v>12138</v>
      </c>
      <c r="K118">
        <f>J118*Emission_factor!$C$48</f>
        <v>7195.4063999999998</v>
      </c>
    </row>
    <row r="119" spans="1:11" ht="15" customHeight="1" x14ac:dyDescent="0.25">
      <c r="A119" s="1">
        <v>118</v>
      </c>
      <c r="B119" s="1" t="s">
        <v>72</v>
      </c>
      <c r="C119" s="1" t="s">
        <v>412</v>
      </c>
      <c r="D119" s="1" t="s">
        <v>127</v>
      </c>
      <c r="E119" s="1">
        <v>2023</v>
      </c>
      <c r="F119" s="37" t="s">
        <v>436</v>
      </c>
      <c r="G119" s="37" t="s">
        <v>437</v>
      </c>
      <c r="H119" s="34">
        <v>1</v>
      </c>
      <c r="I119" s="50">
        <v>75</v>
      </c>
      <c r="J119" s="1">
        <f t="shared" si="1"/>
        <v>150</v>
      </c>
      <c r="K119">
        <f>J119*Emission_factor!$C$48</f>
        <v>88.92</v>
      </c>
    </row>
    <row r="120" spans="1:11" x14ac:dyDescent="0.25">
      <c r="A120" s="1">
        <v>119</v>
      </c>
      <c r="B120" s="1" t="s">
        <v>72</v>
      </c>
      <c r="C120" s="1" t="s">
        <v>412</v>
      </c>
      <c r="D120" s="1" t="s">
        <v>127</v>
      </c>
      <c r="E120" s="1">
        <v>2023</v>
      </c>
      <c r="F120" s="37" t="s">
        <v>436</v>
      </c>
      <c r="G120" s="37" t="s">
        <v>437</v>
      </c>
      <c r="H120" s="34">
        <v>16</v>
      </c>
      <c r="I120" s="50">
        <v>75</v>
      </c>
      <c r="J120" s="1">
        <f t="shared" si="1"/>
        <v>2400</v>
      </c>
      <c r="K120">
        <f>J120*Emission_factor!$C$48</f>
        <v>1422.72</v>
      </c>
    </row>
    <row r="121" spans="1:11" x14ac:dyDescent="0.25">
      <c r="A121" s="1">
        <v>120</v>
      </c>
      <c r="B121" s="1" t="s">
        <v>72</v>
      </c>
      <c r="C121" s="1" t="s">
        <v>412</v>
      </c>
      <c r="D121" s="1" t="s">
        <v>127</v>
      </c>
      <c r="E121" s="1">
        <v>2023</v>
      </c>
      <c r="F121" s="37" t="s">
        <v>426</v>
      </c>
      <c r="G121" s="37" t="s">
        <v>427</v>
      </c>
      <c r="H121" s="34">
        <v>58</v>
      </c>
      <c r="I121" s="50">
        <v>168</v>
      </c>
      <c r="J121" s="1">
        <f t="shared" si="1"/>
        <v>19488</v>
      </c>
      <c r="K121">
        <f>J121*Emission_factor!$C$48</f>
        <v>11552.4864</v>
      </c>
    </row>
    <row r="122" spans="1:11" x14ac:dyDescent="0.25">
      <c r="A122" s="1">
        <v>121</v>
      </c>
      <c r="B122" s="1" t="s">
        <v>72</v>
      </c>
      <c r="C122" s="1" t="s">
        <v>412</v>
      </c>
      <c r="D122" s="1" t="s">
        <v>127</v>
      </c>
      <c r="E122" s="1">
        <v>2023</v>
      </c>
      <c r="F122" s="37" t="s">
        <v>428</v>
      </c>
      <c r="G122" s="37" t="s">
        <v>429</v>
      </c>
      <c r="H122" s="34">
        <v>1</v>
      </c>
      <c r="I122" s="50">
        <v>29.4</v>
      </c>
      <c r="J122" s="1">
        <f t="shared" si="1"/>
        <v>58.8</v>
      </c>
      <c r="K122">
        <f>J122*Emission_factor!$C$48</f>
        <v>34.856639999999999</v>
      </c>
    </row>
    <row r="123" spans="1:11" x14ac:dyDescent="0.25">
      <c r="A123" s="1">
        <v>122</v>
      </c>
      <c r="B123" s="1" t="s">
        <v>72</v>
      </c>
      <c r="C123" s="1" t="s">
        <v>412</v>
      </c>
      <c r="D123" s="1" t="s">
        <v>127</v>
      </c>
      <c r="E123" s="1">
        <v>2023</v>
      </c>
      <c r="F123" s="37" t="s">
        <v>422</v>
      </c>
      <c r="G123" s="37" t="s">
        <v>423</v>
      </c>
      <c r="H123" s="34">
        <v>38</v>
      </c>
      <c r="I123" s="50">
        <v>47.1</v>
      </c>
      <c r="J123" s="1">
        <f t="shared" si="1"/>
        <v>3579.6</v>
      </c>
      <c r="K123">
        <f>J123*Emission_factor!$C$48</f>
        <v>2121.9868799999999</v>
      </c>
    </row>
    <row r="124" spans="1:11" x14ac:dyDescent="0.25">
      <c r="A124" s="1">
        <v>123</v>
      </c>
      <c r="B124" s="1" t="s">
        <v>72</v>
      </c>
      <c r="C124" s="1" t="s">
        <v>412</v>
      </c>
      <c r="D124" s="1" t="s">
        <v>127</v>
      </c>
      <c r="E124" s="1">
        <v>2023</v>
      </c>
      <c r="F124" s="37" t="s">
        <v>416</v>
      </c>
      <c r="G124" s="37" t="s">
        <v>421</v>
      </c>
      <c r="H124" s="34">
        <v>33</v>
      </c>
      <c r="I124" s="50">
        <v>51</v>
      </c>
      <c r="J124" s="1">
        <f t="shared" si="1"/>
        <v>3366</v>
      </c>
      <c r="K124">
        <f>J124*Emission_factor!$C$48</f>
        <v>1995.3648000000001</v>
      </c>
    </row>
    <row r="125" spans="1:11" x14ac:dyDescent="0.25">
      <c r="A125" s="1">
        <v>124</v>
      </c>
      <c r="B125" s="1" t="s">
        <v>72</v>
      </c>
      <c r="C125" s="1" t="s">
        <v>412</v>
      </c>
      <c r="D125" s="1" t="s">
        <v>127</v>
      </c>
      <c r="E125" s="1">
        <v>2023</v>
      </c>
      <c r="F125" s="37" t="s">
        <v>416</v>
      </c>
      <c r="G125" s="37" t="s">
        <v>421</v>
      </c>
      <c r="H125" s="34">
        <v>33</v>
      </c>
      <c r="I125" s="50">
        <v>51</v>
      </c>
      <c r="J125" s="1">
        <f t="shared" si="1"/>
        <v>3366</v>
      </c>
      <c r="K125">
        <f>J125*Emission_factor!$C$48</f>
        <v>1995.3648000000001</v>
      </c>
    </row>
    <row r="126" spans="1:11" x14ac:dyDescent="0.25">
      <c r="A126" s="1">
        <v>125</v>
      </c>
      <c r="B126" s="1" t="s">
        <v>72</v>
      </c>
      <c r="C126" s="1" t="s">
        <v>412</v>
      </c>
      <c r="D126" s="1" t="s">
        <v>127</v>
      </c>
      <c r="E126" s="1">
        <v>2023</v>
      </c>
      <c r="F126" s="37" t="s">
        <v>416</v>
      </c>
      <c r="G126" s="37" t="s">
        <v>421</v>
      </c>
      <c r="H126" s="34">
        <v>11</v>
      </c>
      <c r="I126" s="50">
        <v>51</v>
      </c>
      <c r="J126" s="1">
        <f t="shared" si="1"/>
        <v>1122</v>
      </c>
      <c r="K126">
        <f>J126*Emission_factor!$C$48</f>
        <v>665.12159999999994</v>
      </c>
    </row>
    <row r="127" spans="1:11" x14ac:dyDescent="0.25">
      <c r="A127" s="1">
        <v>126</v>
      </c>
      <c r="B127" s="1" t="s">
        <v>72</v>
      </c>
      <c r="C127" s="1" t="s">
        <v>412</v>
      </c>
      <c r="D127" s="1" t="s">
        <v>127</v>
      </c>
      <c r="E127" s="1">
        <v>2023</v>
      </c>
      <c r="F127" s="37" t="s">
        <v>416</v>
      </c>
      <c r="G127" s="37" t="s">
        <v>421</v>
      </c>
      <c r="H127" s="34">
        <v>55</v>
      </c>
      <c r="I127" s="50">
        <v>51</v>
      </c>
      <c r="J127" s="1">
        <f t="shared" si="1"/>
        <v>5610</v>
      </c>
      <c r="K127">
        <f>J127*Emission_factor!$C$48</f>
        <v>3325.6080000000002</v>
      </c>
    </row>
    <row r="128" spans="1:11" x14ac:dyDescent="0.25">
      <c r="A128" s="1">
        <v>127</v>
      </c>
      <c r="B128" s="1" t="s">
        <v>72</v>
      </c>
      <c r="C128" s="1" t="s">
        <v>412</v>
      </c>
      <c r="D128" s="1" t="s">
        <v>127</v>
      </c>
      <c r="E128" s="1">
        <v>2023</v>
      </c>
      <c r="F128" s="37" t="s">
        <v>426</v>
      </c>
      <c r="G128" s="37" t="s">
        <v>427</v>
      </c>
      <c r="H128" s="34">
        <v>8</v>
      </c>
      <c r="I128" s="50">
        <v>168</v>
      </c>
      <c r="J128" s="1">
        <f t="shared" si="1"/>
        <v>2688</v>
      </c>
      <c r="K128">
        <f>J128*Emission_factor!$C$48</f>
        <v>1593.4464</v>
      </c>
    </row>
    <row r="129" spans="1:11" x14ac:dyDescent="0.25">
      <c r="A129" s="1">
        <v>128</v>
      </c>
      <c r="B129" s="1" t="s">
        <v>72</v>
      </c>
      <c r="C129" s="1" t="s">
        <v>412</v>
      </c>
      <c r="D129" s="1" t="s">
        <v>127</v>
      </c>
      <c r="E129" s="1">
        <v>2023</v>
      </c>
      <c r="F129" s="37" t="s">
        <v>422</v>
      </c>
      <c r="G129" s="37" t="s">
        <v>423</v>
      </c>
      <c r="H129" s="34">
        <v>4</v>
      </c>
      <c r="I129" s="50">
        <v>47.1</v>
      </c>
      <c r="J129" s="1">
        <f t="shared" si="1"/>
        <v>376.8</v>
      </c>
      <c r="K129">
        <f>J129*Emission_factor!$C$48</f>
        <v>223.36704</v>
      </c>
    </row>
    <row r="130" spans="1:11" x14ac:dyDescent="0.25">
      <c r="A130" s="1">
        <v>129</v>
      </c>
      <c r="B130" s="1" t="s">
        <v>72</v>
      </c>
      <c r="C130" s="1" t="s">
        <v>412</v>
      </c>
      <c r="D130" s="1" t="s">
        <v>127</v>
      </c>
      <c r="E130" s="1">
        <v>2023</v>
      </c>
      <c r="F130" s="37" t="s">
        <v>428</v>
      </c>
      <c r="G130" s="37" t="s">
        <v>429</v>
      </c>
      <c r="H130" s="34">
        <v>15</v>
      </c>
      <c r="I130" s="50">
        <v>29.4</v>
      </c>
      <c r="J130" s="1">
        <f t="shared" si="1"/>
        <v>882</v>
      </c>
      <c r="K130">
        <f>J130*Emission_factor!$C$48</f>
        <v>522.84960000000001</v>
      </c>
    </row>
    <row r="131" spans="1:11" x14ac:dyDescent="0.25">
      <c r="A131" s="1">
        <v>130</v>
      </c>
      <c r="B131" s="1" t="s">
        <v>72</v>
      </c>
      <c r="C131" s="1" t="s">
        <v>412</v>
      </c>
      <c r="D131" s="1" t="s">
        <v>127</v>
      </c>
      <c r="E131" s="1">
        <v>2023</v>
      </c>
      <c r="F131" s="37" t="s">
        <v>428</v>
      </c>
      <c r="G131" s="37" t="s">
        <v>429</v>
      </c>
      <c r="H131" s="34">
        <v>92</v>
      </c>
      <c r="I131" s="50">
        <v>29.4</v>
      </c>
      <c r="J131" s="1">
        <f t="shared" ref="J131:J194" si="2">H131*I131*2</f>
        <v>5409.5999999999995</v>
      </c>
      <c r="K131">
        <f>J131*Emission_factor!$C$48</f>
        <v>3206.8108799999995</v>
      </c>
    </row>
    <row r="132" spans="1:11" x14ac:dyDescent="0.25">
      <c r="A132" s="1">
        <v>131</v>
      </c>
      <c r="B132" s="1" t="s">
        <v>72</v>
      </c>
      <c r="C132" s="1" t="s">
        <v>412</v>
      </c>
      <c r="D132" s="1" t="s">
        <v>127</v>
      </c>
      <c r="E132" s="1">
        <v>2023</v>
      </c>
      <c r="F132" s="37" t="s">
        <v>455</v>
      </c>
      <c r="G132" s="37" t="s">
        <v>456</v>
      </c>
      <c r="H132" s="34">
        <v>8</v>
      </c>
      <c r="I132" s="50">
        <v>112</v>
      </c>
      <c r="J132" s="1">
        <f t="shared" si="2"/>
        <v>1792</v>
      </c>
      <c r="K132">
        <f>J132*Emission_factor!$C$48</f>
        <v>1062.2975999999999</v>
      </c>
    </row>
    <row r="133" spans="1:11" x14ac:dyDescent="0.25">
      <c r="A133" s="1">
        <v>132</v>
      </c>
      <c r="B133" s="1" t="s">
        <v>72</v>
      </c>
      <c r="C133" s="1" t="s">
        <v>412</v>
      </c>
      <c r="D133" s="1" t="s">
        <v>127</v>
      </c>
      <c r="E133" s="1">
        <v>2023</v>
      </c>
      <c r="F133" s="37" t="s">
        <v>428</v>
      </c>
      <c r="G133" s="37" t="s">
        <v>429</v>
      </c>
      <c r="H133" s="34">
        <v>1</v>
      </c>
      <c r="I133" s="50">
        <v>29.4</v>
      </c>
      <c r="J133" s="1">
        <f t="shared" si="2"/>
        <v>58.8</v>
      </c>
      <c r="K133">
        <f>J133*Emission_factor!$C$48</f>
        <v>34.856639999999999</v>
      </c>
    </row>
    <row r="134" spans="1:11" x14ac:dyDescent="0.25">
      <c r="A134" s="1">
        <v>133</v>
      </c>
      <c r="B134" s="1" t="s">
        <v>72</v>
      </c>
      <c r="C134" s="1" t="s">
        <v>412</v>
      </c>
      <c r="D134" s="1" t="s">
        <v>127</v>
      </c>
      <c r="E134" s="1">
        <v>2023</v>
      </c>
      <c r="F134" s="37" t="s">
        <v>428</v>
      </c>
      <c r="G134" s="37" t="s">
        <v>429</v>
      </c>
      <c r="H134" s="34">
        <v>1</v>
      </c>
      <c r="I134" s="50">
        <v>29.4</v>
      </c>
      <c r="J134" s="1">
        <f t="shared" si="2"/>
        <v>58.8</v>
      </c>
      <c r="K134">
        <f>J134*Emission_factor!$C$48</f>
        <v>34.856639999999999</v>
      </c>
    </row>
    <row r="135" spans="1:11" x14ac:dyDescent="0.25">
      <c r="A135" s="1">
        <v>134</v>
      </c>
      <c r="B135" s="1" t="s">
        <v>72</v>
      </c>
      <c r="C135" s="1" t="s">
        <v>412</v>
      </c>
      <c r="D135" s="1" t="s">
        <v>127</v>
      </c>
      <c r="E135" s="1">
        <v>2023</v>
      </c>
      <c r="F135" s="37" t="s">
        <v>422</v>
      </c>
      <c r="G135" s="37" t="s">
        <v>423</v>
      </c>
      <c r="H135" s="34">
        <v>42</v>
      </c>
      <c r="I135" s="50">
        <v>47.1</v>
      </c>
      <c r="J135" s="1">
        <f t="shared" si="2"/>
        <v>3956.4</v>
      </c>
      <c r="K135">
        <f>J135*Emission_factor!$C$48</f>
        <v>2345.35392</v>
      </c>
    </row>
    <row r="136" spans="1:11" x14ac:dyDescent="0.25">
      <c r="A136" s="1">
        <v>135</v>
      </c>
      <c r="B136" s="1" t="s">
        <v>72</v>
      </c>
      <c r="C136" s="1" t="s">
        <v>412</v>
      </c>
      <c r="D136" s="1" t="s">
        <v>127</v>
      </c>
      <c r="E136" s="1">
        <v>2023</v>
      </c>
      <c r="F136" s="37" t="s">
        <v>413</v>
      </c>
      <c r="G136" s="37" t="s">
        <v>417</v>
      </c>
      <c r="H136" s="34">
        <v>16</v>
      </c>
      <c r="I136" s="50">
        <v>28.1</v>
      </c>
      <c r="J136" s="1">
        <f t="shared" si="2"/>
        <v>899.2</v>
      </c>
      <c r="K136">
        <f>J136*Emission_factor!$C$48</f>
        <v>533.04575999999997</v>
      </c>
    </row>
    <row r="137" spans="1:11" x14ac:dyDescent="0.25">
      <c r="A137" s="1">
        <v>136</v>
      </c>
      <c r="B137" s="1" t="s">
        <v>72</v>
      </c>
      <c r="C137" s="1" t="s">
        <v>412</v>
      </c>
      <c r="D137" s="1" t="s">
        <v>127</v>
      </c>
      <c r="E137" s="1">
        <v>2023</v>
      </c>
      <c r="F137" s="37" t="s">
        <v>422</v>
      </c>
      <c r="G137" s="37" t="s">
        <v>423</v>
      </c>
      <c r="H137" s="34">
        <v>29</v>
      </c>
      <c r="I137" s="50">
        <v>47.1</v>
      </c>
      <c r="J137" s="1">
        <f t="shared" si="2"/>
        <v>2731.8</v>
      </c>
      <c r="K137">
        <f>J137*Emission_factor!$C$48</f>
        <v>1619.4110400000002</v>
      </c>
    </row>
    <row r="138" spans="1:11" x14ac:dyDescent="0.25">
      <c r="A138" s="1">
        <v>137</v>
      </c>
      <c r="B138" s="1" t="s">
        <v>72</v>
      </c>
      <c r="C138" s="1" t="s">
        <v>412</v>
      </c>
      <c r="D138" s="1" t="s">
        <v>127</v>
      </c>
      <c r="E138" s="1">
        <v>2023</v>
      </c>
      <c r="F138" s="37" t="s">
        <v>422</v>
      </c>
      <c r="G138" s="37" t="s">
        <v>423</v>
      </c>
      <c r="H138" s="34">
        <v>29</v>
      </c>
      <c r="I138" s="50">
        <v>47.1</v>
      </c>
      <c r="J138" s="1">
        <f t="shared" si="2"/>
        <v>2731.8</v>
      </c>
      <c r="K138">
        <f>J138*Emission_factor!$C$48</f>
        <v>1619.4110400000002</v>
      </c>
    </row>
    <row r="139" spans="1:11" x14ac:dyDescent="0.25">
      <c r="A139" s="1">
        <v>138</v>
      </c>
      <c r="B139" s="1" t="s">
        <v>72</v>
      </c>
      <c r="C139" s="1" t="s">
        <v>412</v>
      </c>
      <c r="D139" s="1" t="s">
        <v>127</v>
      </c>
      <c r="E139" s="1">
        <v>2023</v>
      </c>
      <c r="F139" s="37" t="s">
        <v>416</v>
      </c>
      <c r="G139" s="37" t="s">
        <v>421</v>
      </c>
      <c r="H139" s="34">
        <v>4</v>
      </c>
      <c r="I139" s="50">
        <v>51</v>
      </c>
      <c r="J139" s="1">
        <f t="shared" si="2"/>
        <v>408</v>
      </c>
      <c r="K139">
        <f>J139*Emission_factor!$C$48</f>
        <v>241.86240000000001</v>
      </c>
    </row>
    <row r="140" spans="1:11" x14ac:dyDescent="0.25">
      <c r="A140" s="1">
        <v>139</v>
      </c>
      <c r="B140" s="1" t="s">
        <v>72</v>
      </c>
      <c r="C140" s="1" t="s">
        <v>412</v>
      </c>
      <c r="D140" s="1" t="s">
        <v>127</v>
      </c>
      <c r="E140" s="1">
        <v>2023</v>
      </c>
      <c r="F140" s="37" t="s">
        <v>416</v>
      </c>
      <c r="G140" s="37" t="s">
        <v>421</v>
      </c>
      <c r="H140" s="34">
        <v>4</v>
      </c>
      <c r="I140" s="50">
        <v>51</v>
      </c>
      <c r="J140" s="1">
        <f t="shared" si="2"/>
        <v>408</v>
      </c>
      <c r="K140">
        <f>J140*Emission_factor!$C$48</f>
        <v>241.86240000000001</v>
      </c>
    </row>
    <row r="141" spans="1:11" x14ac:dyDescent="0.25">
      <c r="A141" s="1">
        <v>140</v>
      </c>
      <c r="B141" s="1" t="s">
        <v>72</v>
      </c>
      <c r="C141" s="1" t="s">
        <v>412</v>
      </c>
      <c r="D141" s="1" t="s">
        <v>127</v>
      </c>
      <c r="E141" s="1">
        <v>2023</v>
      </c>
      <c r="F141" s="37" t="s">
        <v>416</v>
      </c>
      <c r="G141" s="37" t="s">
        <v>421</v>
      </c>
      <c r="H141" s="34">
        <v>8</v>
      </c>
      <c r="I141" s="50">
        <v>51</v>
      </c>
      <c r="J141" s="1">
        <f t="shared" si="2"/>
        <v>816</v>
      </c>
      <c r="K141">
        <f>J141*Emission_factor!$C$48</f>
        <v>483.72480000000002</v>
      </c>
    </row>
    <row r="142" spans="1:11" x14ac:dyDescent="0.25">
      <c r="A142" s="1">
        <v>141</v>
      </c>
      <c r="B142" s="1" t="s">
        <v>72</v>
      </c>
      <c r="C142" s="1" t="s">
        <v>412</v>
      </c>
      <c r="D142" s="1" t="s">
        <v>127</v>
      </c>
      <c r="E142" s="1">
        <v>2023</v>
      </c>
      <c r="F142" s="37" t="s">
        <v>416</v>
      </c>
      <c r="G142" s="37" t="s">
        <v>421</v>
      </c>
      <c r="H142" s="34">
        <v>41</v>
      </c>
      <c r="I142" s="50">
        <v>51</v>
      </c>
      <c r="J142" s="1">
        <f t="shared" si="2"/>
        <v>4182</v>
      </c>
      <c r="K142">
        <f>J142*Emission_factor!$C$48</f>
        <v>2479.0895999999998</v>
      </c>
    </row>
    <row r="143" spans="1:11" ht="15.75" thickBot="1" x14ac:dyDescent="0.3">
      <c r="A143" s="1">
        <v>142</v>
      </c>
      <c r="B143" s="1" t="s">
        <v>72</v>
      </c>
      <c r="C143" s="1" t="s">
        <v>412</v>
      </c>
      <c r="D143" s="1" t="s">
        <v>127</v>
      </c>
      <c r="E143" s="1">
        <v>2023</v>
      </c>
      <c r="F143" s="37" t="s">
        <v>416</v>
      </c>
      <c r="G143" s="37" t="s">
        <v>421</v>
      </c>
      <c r="H143" s="34">
        <v>25</v>
      </c>
      <c r="I143" s="50">
        <v>51</v>
      </c>
      <c r="J143" s="1">
        <f t="shared" si="2"/>
        <v>2550</v>
      </c>
      <c r="K143">
        <f>J143*Emission_factor!$C$48</f>
        <v>1511.6399999999999</v>
      </c>
    </row>
    <row r="144" spans="1:11" x14ac:dyDescent="0.25">
      <c r="A144" s="1">
        <v>143</v>
      </c>
      <c r="B144" s="1" t="s">
        <v>72</v>
      </c>
      <c r="C144" s="1" t="s">
        <v>412</v>
      </c>
      <c r="D144" s="1" t="s">
        <v>128</v>
      </c>
      <c r="E144" s="1">
        <v>2023</v>
      </c>
      <c r="F144" s="40" t="s">
        <v>438</v>
      </c>
      <c r="G144" s="40" t="s">
        <v>439</v>
      </c>
      <c r="H144" s="41">
        <v>83</v>
      </c>
      <c r="I144" s="51">
        <v>67.3</v>
      </c>
      <c r="J144" s="1">
        <f t="shared" si="2"/>
        <v>11171.8</v>
      </c>
      <c r="K144">
        <f>J144*Emission_factor!$C$48</f>
        <v>6622.6430399999999</v>
      </c>
    </row>
    <row r="145" spans="1:11" x14ac:dyDescent="0.25">
      <c r="A145" s="1">
        <v>144</v>
      </c>
      <c r="B145" s="1" t="s">
        <v>72</v>
      </c>
      <c r="C145" s="1" t="s">
        <v>412</v>
      </c>
      <c r="D145" s="1" t="s">
        <v>128</v>
      </c>
      <c r="E145" s="1">
        <v>2023</v>
      </c>
      <c r="F145" s="37" t="s">
        <v>422</v>
      </c>
      <c r="G145" s="37" t="s">
        <v>423</v>
      </c>
      <c r="H145" s="41">
        <v>8</v>
      </c>
      <c r="I145" s="50">
        <v>47.1</v>
      </c>
      <c r="J145" s="1">
        <f t="shared" si="2"/>
        <v>753.6</v>
      </c>
      <c r="K145">
        <f>J145*Emission_factor!$C$48</f>
        <v>446.73408000000001</v>
      </c>
    </row>
    <row r="146" spans="1:11" ht="17.25" customHeight="1" x14ac:dyDescent="0.25">
      <c r="A146" s="1">
        <v>145</v>
      </c>
      <c r="B146" s="1" t="s">
        <v>72</v>
      </c>
      <c r="C146" s="1" t="s">
        <v>412</v>
      </c>
      <c r="D146" s="1" t="s">
        <v>128</v>
      </c>
      <c r="E146" s="1">
        <v>2023</v>
      </c>
      <c r="F146" s="37" t="s">
        <v>413</v>
      </c>
      <c r="G146" s="37" t="s">
        <v>417</v>
      </c>
      <c r="H146" s="41">
        <v>100</v>
      </c>
      <c r="I146" s="50">
        <v>28.1</v>
      </c>
      <c r="J146" s="1">
        <f t="shared" si="2"/>
        <v>5620</v>
      </c>
      <c r="K146">
        <f>J146*Emission_factor!$C$48</f>
        <v>3331.5360000000001</v>
      </c>
    </row>
    <row r="147" spans="1:11" x14ac:dyDescent="0.25">
      <c r="A147" s="1">
        <v>146</v>
      </c>
      <c r="B147" s="1" t="s">
        <v>72</v>
      </c>
      <c r="C147" s="1" t="s">
        <v>412</v>
      </c>
      <c r="D147" s="1" t="s">
        <v>128</v>
      </c>
      <c r="E147" s="1">
        <v>2023</v>
      </c>
      <c r="F147" s="37" t="s">
        <v>450</v>
      </c>
      <c r="G147" s="37" t="s">
        <v>451</v>
      </c>
      <c r="H147" s="41">
        <v>8</v>
      </c>
      <c r="I147" s="50">
        <v>47.4</v>
      </c>
      <c r="J147" s="1">
        <f t="shared" si="2"/>
        <v>758.4</v>
      </c>
      <c r="K147">
        <f>J147*Emission_factor!$C$48</f>
        <v>449.57952</v>
      </c>
    </row>
    <row r="148" spans="1:11" x14ac:dyDescent="0.25">
      <c r="A148" s="1">
        <v>147</v>
      </c>
      <c r="B148" s="1" t="s">
        <v>72</v>
      </c>
      <c r="C148" s="1" t="s">
        <v>412</v>
      </c>
      <c r="D148" s="1" t="s">
        <v>128</v>
      </c>
      <c r="E148" s="1">
        <v>2023</v>
      </c>
      <c r="F148" s="37" t="s">
        <v>416</v>
      </c>
      <c r="G148" s="37" t="s">
        <v>421</v>
      </c>
      <c r="H148" s="41">
        <v>1</v>
      </c>
      <c r="I148" s="50">
        <v>51</v>
      </c>
      <c r="J148" s="1">
        <f t="shared" si="2"/>
        <v>102</v>
      </c>
      <c r="K148">
        <f>J148*Emission_factor!$C$48</f>
        <v>60.465600000000002</v>
      </c>
    </row>
    <row r="149" spans="1:11" ht="15" customHeight="1" x14ac:dyDescent="0.25">
      <c r="A149" s="1">
        <v>148</v>
      </c>
      <c r="B149" s="1" t="s">
        <v>72</v>
      </c>
      <c r="C149" s="1" t="s">
        <v>412</v>
      </c>
      <c r="D149" s="1" t="s">
        <v>128</v>
      </c>
      <c r="E149" s="1">
        <v>2023</v>
      </c>
      <c r="F149" s="37" t="s">
        <v>436</v>
      </c>
      <c r="G149" s="37" t="s">
        <v>437</v>
      </c>
      <c r="H149" s="41">
        <v>6</v>
      </c>
      <c r="I149" s="50">
        <v>73</v>
      </c>
      <c r="J149" s="1">
        <f t="shared" si="2"/>
        <v>876</v>
      </c>
      <c r="K149">
        <f>J149*Emission_factor!$C$48</f>
        <v>519.29279999999994</v>
      </c>
    </row>
    <row r="150" spans="1:11" x14ac:dyDescent="0.25">
      <c r="A150" s="1">
        <v>149</v>
      </c>
      <c r="B150" s="1" t="s">
        <v>72</v>
      </c>
      <c r="C150" s="1" t="s">
        <v>412</v>
      </c>
      <c r="D150" s="1" t="s">
        <v>128</v>
      </c>
      <c r="E150" s="1">
        <v>2023</v>
      </c>
      <c r="F150" s="37" t="s">
        <v>436</v>
      </c>
      <c r="G150" s="37" t="s">
        <v>437</v>
      </c>
      <c r="H150" s="41">
        <v>35</v>
      </c>
      <c r="I150" s="50">
        <v>73</v>
      </c>
      <c r="J150" s="1">
        <f t="shared" si="2"/>
        <v>5110</v>
      </c>
      <c r="K150">
        <f>J150*Emission_factor!$C$48</f>
        <v>3029.2080000000001</v>
      </c>
    </row>
    <row r="151" spans="1:11" x14ac:dyDescent="0.25">
      <c r="A151" s="1">
        <v>150</v>
      </c>
      <c r="B151" s="1" t="s">
        <v>72</v>
      </c>
      <c r="C151" s="1" t="s">
        <v>412</v>
      </c>
      <c r="D151" s="1" t="s">
        <v>128</v>
      </c>
      <c r="E151" s="1">
        <v>2023</v>
      </c>
      <c r="F151" s="37" t="s">
        <v>436</v>
      </c>
      <c r="G151" s="37" t="s">
        <v>437</v>
      </c>
      <c r="H151" s="41">
        <v>4</v>
      </c>
      <c r="I151" s="50">
        <v>73</v>
      </c>
      <c r="J151" s="1">
        <f t="shared" si="2"/>
        <v>584</v>
      </c>
      <c r="K151">
        <f>J151*Emission_factor!$C$48</f>
        <v>346.1952</v>
      </c>
    </row>
    <row r="152" spans="1:11" x14ac:dyDescent="0.25">
      <c r="A152" s="1">
        <v>151</v>
      </c>
      <c r="B152" s="1" t="s">
        <v>72</v>
      </c>
      <c r="C152" s="1" t="s">
        <v>412</v>
      </c>
      <c r="D152" s="1" t="s">
        <v>128</v>
      </c>
      <c r="E152" s="1">
        <v>2023</v>
      </c>
      <c r="F152" s="37" t="s">
        <v>436</v>
      </c>
      <c r="G152" s="37" t="s">
        <v>437</v>
      </c>
      <c r="H152" s="41">
        <v>4</v>
      </c>
      <c r="I152" s="50">
        <v>73</v>
      </c>
      <c r="J152" s="1">
        <f t="shared" si="2"/>
        <v>584</v>
      </c>
      <c r="K152">
        <f>J152*Emission_factor!$C$48</f>
        <v>346.1952</v>
      </c>
    </row>
    <row r="153" spans="1:11" x14ac:dyDescent="0.25">
      <c r="A153" s="1">
        <v>152</v>
      </c>
      <c r="B153" s="1" t="s">
        <v>72</v>
      </c>
      <c r="C153" s="1" t="s">
        <v>412</v>
      </c>
      <c r="D153" s="1" t="s">
        <v>128</v>
      </c>
      <c r="E153" s="1">
        <v>2023</v>
      </c>
      <c r="F153" s="37" t="s">
        <v>436</v>
      </c>
      <c r="G153" s="37" t="s">
        <v>437</v>
      </c>
      <c r="H153" s="41">
        <v>25</v>
      </c>
      <c r="I153" s="50">
        <v>73</v>
      </c>
      <c r="J153" s="1">
        <f t="shared" si="2"/>
        <v>3650</v>
      </c>
      <c r="K153">
        <f>J153*Emission_factor!$C$48</f>
        <v>2163.7199999999998</v>
      </c>
    </row>
    <row r="154" spans="1:11" x14ac:dyDescent="0.25">
      <c r="A154" s="1">
        <v>153</v>
      </c>
      <c r="B154" s="1" t="s">
        <v>72</v>
      </c>
      <c r="C154" s="1" t="s">
        <v>412</v>
      </c>
      <c r="D154" s="1" t="s">
        <v>128</v>
      </c>
      <c r="E154" s="1">
        <v>2023</v>
      </c>
      <c r="F154" s="37" t="s">
        <v>422</v>
      </c>
      <c r="G154" s="37" t="s">
        <v>423</v>
      </c>
      <c r="H154" s="41">
        <v>50</v>
      </c>
      <c r="I154" s="50">
        <v>47.1</v>
      </c>
      <c r="J154" s="1">
        <f t="shared" si="2"/>
        <v>4710</v>
      </c>
      <c r="K154">
        <f>J154*Emission_factor!$C$48</f>
        <v>2792.0880000000002</v>
      </c>
    </row>
    <row r="155" spans="1:11" x14ac:dyDescent="0.25">
      <c r="A155" s="1">
        <v>154</v>
      </c>
      <c r="B155" s="1" t="s">
        <v>72</v>
      </c>
      <c r="C155" s="1" t="s">
        <v>412</v>
      </c>
      <c r="D155" s="1" t="s">
        <v>128</v>
      </c>
      <c r="E155" s="1">
        <v>2023</v>
      </c>
      <c r="F155" s="37" t="s">
        <v>413</v>
      </c>
      <c r="G155" s="37" t="s">
        <v>417</v>
      </c>
      <c r="H155" s="41">
        <v>68</v>
      </c>
      <c r="I155" s="50">
        <v>28.1</v>
      </c>
      <c r="J155" s="1">
        <f t="shared" si="2"/>
        <v>3821.6000000000004</v>
      </c>
      <c r="K155">
        <f>J155*Emission_factor!$C$48</f>
        <v>2265.4444800000001</v>
      </c>
    </row>
    <row r="156" spans="1:11" ht="15.75" thickBot="1" x14ac:dyDescent="0.3">
      <c r="A156" s="1">
        <v>155</v>
      </c>
      <c r="B156" s="1" t="s">
        <v>72</v>
      </c>
      <c r="C156" s="1" t="s">
        <v>412</v>
      </c>
      <c r="D156" s="1" t="s">
        <v>128</v>
      </c>
      <c r="E156" s="1">
        <v>2023</v>
      </c>
      <c r="F156" s="37" t="s">
        <v>422</v>
      </c>
      <c r="G156" s="37" t="s">
        <v>423</v>
      </c>
      <c r="H156" s="41">
        <v>33</v>
      </c>
      <c r="I156" s="50">
        <v>47.1</v>
      </c>
      <c r="J156" s="1">
        <f t="shared" si="2"/>
        <v>3108.6</v>
      </c>
      <c r="K156">
        <f>J156*Emission_factor!$C$48</f>
        <v>1842.7780799999998</v>
      </c>
    </row>
    <row r="157" spans="1:11" x14ac:dyDescent="0.25">
      <c r="A157" s="1">
        <v>156</v>
      </c>
      <c r="B157" s="1" t="s">
        <v>72</v>
      </c>
      <c r="C157" s="1" t="s">
        <v>412</v>
      </c>
      <c r="D157" s="1" t="s">
        <v>128</v>
      </c>
      <c r="E157" s="1">
        <v>2023</v>
      </c>
      <c r="F157" s="37" t="s">
        <v>438</v>
      </c>
      <c r="G157" s="37" t="s">
        <v>439</v>
      </c>
      <c r="H157" s="41">
        <v>84</v>
      </c>
      <c r="I157" s="51">
        <v>67.3</v>
      </c>
      <c r="J157" s="1">
        <f t="shared" si="2"/>
        <v>11306.4</v>
      </c>
      <c r="K157">
        <f>J157*Emission_factor!$C$48</f>
        <v>6702.4339199999995</v>
      </c>
    </row>
    <row r="158" spans="1:11" x14ac:dyDescent="0.25">
      <c r="A158" s="1">
        <v>157</v>
      </c>
      <c r="B158" s="1" t="s">
        <v>72</v>
      </c>
      <c r="C158" s="1" t="s">
        <v>412</v>
      </c>
      <c r="D158" s="1" t="s">
        <v>128</v>
      </c>
      <c r="E158" s="1">
        <v>2023</v>
      </c>
      <c r="F158" s="37" t="s">
        <v>422</v>
      </c>
      <c r="G158" s="37" t="s">
        <v>423</v>
      </c>
      <c r="H158" s="41">
        <v>33</v>
      </c>
      <c r="I158" s="50">
        <v>47.1</v>
      </c>
      <c r="J158" s="1">
        <f t="shared" si="2"/>
        <v>3108.6</v>
      </c>
      <c r="K158">
        <f>J158*Emission_factor!$C$48</f>
        <v>1842.7780799999998</v>
      </c>
    </row>
    <row r="159" spans="1:11" x14ac:dyDescent="0.25">
      <c r="A159" s="1">
        <v>158</v>
      </c>
      <c r="B159" s="1" t="s">
        <v>72</v>
      </c>
      <c r="C159" s="1" t="s">
        <v>412</v>
      </c>
      <c r="D159" s="1" t="s">
        <v>128</v>
      </c>
      <c r="E159" s="1">
        <v>2023</v>
      </c>
      <c r="F159" s="46" t="s">
        <v>413</v>
      </c>
      <c r="G159" s="39" t="s">
        <v>417</v>
      </c>
      <c r="H159" s="41">
        <v>24</v>
      </c>
      <c r="I159" s="50">
        <v>28.1</v>
      </c>
      <c r="J159" s="1">
        <f t="shared" si="2"/>
        <v>1348.8000000000002</v>
      </c>
      <c r="K159">
        <f>J159*Emission_factor!$C$48</f>
        <v>799.56864000000007</v>
      </c>
    </row>
    <row r="160" spans="1:11" x14ac:dyDescent="0.25">
      <c r="A160" s="1">
        <v>159</v>
      </c>
      <c r="B160" s="1" t="s">
        <v>72</v>
      </c>
      <c r="C160" s="1" t="s">
        <v>412</v>
      </c>
      <c r="D160" s="1" t="s">
        <v>128</v>
      </c>
      <c r="E160" s="1">
        <v>2023</v>
      </c>
      <c r="F160" s="46" t="s">
        <v>413</v>
      </c>
      <c r="G160" s="39" t="s">
        <v>417</v>
      </c>
      <c r="H160" s="41">
        <v>28</v>
      </c>
      <c r="I160" s="50">
        <v>28.1</v>
      </c>
      <c r="J160" s="1">
        <f t="shared" si="2"/>
        <v>1573.6000000000001</v>
      </c>
      <c r="K160">
        <f>J160*Emission_factor!$C$48</f>
        <v>932.83008000000007</v>
      </c>
    </row>
    <row r="161" spans="1:11" x14ac:dyDescent="0.25">
      <c r="A161" s="1">
        <v>160</v>
      </c>
      <c r="B161" s="1" t="s">
        <v>72</v>
      </c>
      <c r="C161" s="1" t="s">
        <v>412</v>
      </c>
      <c r="D161" s="1" t="s">
        <v>128</v>
      </c>
      <c r="E161" s="1">
        <v>2023</v>
      </c>
      <c r="F161" s="37" t="s">
        <v>416</v>
      </c>
      <c r="G161" s="37" t="s">
        <v>421</v>
      </c>
      <c r="H161" s="41">
        <v>24</v>
      </c>
      <c r="I161" s="50">
        <v>51</v>
      </c>
      <c r="J161" s="1">
        <f t="shared" si="2"/>
        <v>2448</v>
      </c>
      <c r="K161">
        <f>J161*Emission_factor!$C$48</f>
        <v>1451.1743999999999</v>
      </c>
    </row>
    <row r="162" spans="1:11" x14ac:dyDescent="0.25">
      <c r="A162" s="1">
        <v>161</v>
      </c>
      <c r="B162" s="1" t="s">
        <v>72</v>
      </c>
      <c r="C162" s="1" t="s">
        <v>412</v>
      </c>
      <c r="D162" s="1" t="s">
        <v>128</v>
      </c>
      <c r="E162" s="1">
        <v>2023</v>
      </c>
      <c r="F162" s="37" t="s">
        <v>416</v>
      </c>
      <c r="G162" s="37" t="s">
        <v>421</v>
      </c>
      <c r="H162" s="41">
        <v>57</v>
      </c>
      <c r="I162" s="50">
        <v>51</v>
      </c>
      <c r="J162" s="1">
        <f t="shared" si="2"/>
        <v>5814</v>
      </c>
      <c r="K162">
        <f>J162*Emission_factor!$C$48</f>
        <v>3446.5392000000002</v>
      </c>
    </row>
    <row r="163" spans="1:11" x14ac:dyDescent="0.25">
      <c r="A163" s="1">
        <v>162</v>
      </c>
      <c r="B163" s="1" t="s">
        <v>72</v>
      </c>
      <c r="C163" s="1" t="s">
        <v>412</v>
      </c>
      <c r="D163" s="1" t="s">
        <v>128</v>
      </c>
      <c r="E163" s="1">
        <v>2023</v>
      </c>
      <c r="F163" s="37" t="s">
        <v>416</v>
      </c>
      <c r="G163" s="37" t="s">
        <v>421</v>
      </c>
      <c r="H163" s="41">
        <v>53</v>
      </c>
      <c r="I163" s="50">
        <v>51</v>
      </c>
      <c r="J163" s="1">
        <f t="shared" si="2"/>
        <v>5406</v>
      </c>
      <c r="K163">
        <f>J163*Emission_factor!$C$48</f>
        <v>3204.6768000000002</v>
      </c>
    </row>
    <row r="164" spans="1:11" ht="15.75" thickBot="1" x14ac:dyDescent="0.3">
      <c r="A164" s="1">
        <v>163</v>
      </c>
      <c r="B164" s="1" t="s">
        <v>72</v>
      </c>
      <c r="C164" s="1" t="s">
        <v>412</v>
      </c>
      <c r="D164" s="1" t="s">
        <v>128</v>
      </c>
      <c r="E164" s="1">
        <v>2023</v>
      </c>
      <c r="F164" s="37" t="s">
        <v>416</v>
      </c>
      <c r="G164" s="37" t="s">
        <v>421</v>
      </c>
      <c r="H164" s="41">
        <v>28</v>
      </c>
      <c r="I164" s="50">
        <v>51</v>
      </c>
      <c r="J164" s="1">
        <f t="shared" si="2"/>
        <v>2856</v>
      </c>
      <c r="K164">
        <f>J164*Emission_factor!$C$48</f>
        <v>1693.0368000000001</v>
      </c>
    </row>
    <row r="165" spans="1:11" x14ac:dyDescent="0.25">
      <c r="A165" s="1">
        <v>164</v>
      </c>
      <c r="B165" s="1" t="s">
        <v>72</v>
      </c>
      <c r="C165" s="1" t="s">
        <v>412</v>
      </c>
      <c r="D165" s="1" t="s">
        <v>128</v>
      </c>
      <c r="E165" s="1">
        <v>2023</v>
      </c>
      <c r="F165" s="37" t="s">
        <v>438</v>
      </c>
      <c r="G165" s="37" t="s">
        <v>439</v>
      </c>
      <c r="H165" s="41">
        <v>2</v>
      </c>
      <c r="I165" s="51">
        <v>67.3</v>
      </c>
      <c r="J165" s="1">
        <f t="shared" si="2"/>
        <v>269.2</v>
      </c>
      <c r="K165">
        <f>J165*Emission_factor!$C$48</f>
        <v>159.58176</v>
      </c>
    </row>
    <row r="166" spans="1:11" ht="15" customHeight="1" x14ac:dyDescent="0.25">
      <c r="A166" s="1">
        <v>165</v>
      </c>
      <c r="B166" s="1" t="s">
        <v>72</v>
      </c>
      <c r="C166" s="1" t="s">
        <v>412</v>
      </c>
      <c r="D166" s="1" t="s">
        <v>128</v>
      </c>
      <c r="E166" s="1">
        <v>2023</v>
      </c>
      <c r="F166" s="37" t="s">
        <v>455</v>
      </c>
      <c r="G166" s="37" t="s">
        <v>456</v>
      </c>
      <c r="H166" s="41">
        <v>16</v>
      </c>
      <c r="I166" s="50">
        <v>112</v>
      </c>
      <c r="J166" s="1">
        <f t="shared" si="2"/>
        <v>3584</v>
      </c>
      <c r="K166">
        <f>J166*Emission_factor!$C$48</f>
        <v>2124.5951999999997</v>
      </c>
    </row>
    <row r="167" spans="1:11" x14ac:dyDescent="0.25">
      <c r="A167" s="1">
        <v>166</v>
      </c>
      <c r="B167" s="1" t="s">
        <v>72</v>
      </c>
      <c r="C167" s="1" t="s">
        <v>412</v>
      </c>
      <c r="D167" s="1" t="s">
        <v>128</v>
      </c>
      <c r="E167" s="1">
        <v>2023</v>
      </c>
      <c r="F167" s="37" t="s">
        <v>455</v>
      </c>
      <c r="G167" s="37" t="s">
        <v>456</v>
      </c>
      <c r="H167" s="41">
        <v>8</v>
      </c>
      <c r="I167" s="50">
        <v>112</v>
      </c>
      <c r="J167" s="1">
        <f t="shared" si="2"/>
        <v>1792</v>
      </c>
      <c r="K167">
        <f>J167*Emission_factor!$C$48</f>
        <v>1062.2975999999999</v>
      </c>
    </row>
    <row r="168" spans="1:11" x14ac:dyDescent="0.25">
      <c r="A168" s="1">
        <v>167</v>
      </c>
      <c r="B168" s="1" t="s">
        <v>72</v>
      </c>
      <c r="C168" s="1" t="s">
        <v>412</v>
      </c>
      <c r="D168" s="1" t="s">
        <v>128</v>
      </c>
      <c r="E168" s="1">
        <v>2023</v>
      </c>
      <c r="F168" s="37" t="s">
        <v>455</v>
      </c>
      <c r="G168" s="37" t="s">
        <v>456</v>
      </c>
      <c r="H168" s="41">
        <v>8</v>
      </c>
      <c r="I168" s="50">
        <v>112</v>
      </c>
      <c r="J168" s="1">
        <f t="shared" si="2"/>
        <v>1792</v>
      </c>
      <c r="K168">
        <f>J168*Emission_factor!$C$48</f>
        <v>1062.2975999999999</v>
      </c>
    </row>
    <row r="169" spans="1:11" x14ac:dyDescent="0.25">
      <c r="A169" s="1">
        <v>168</v>
      </c>
      <c r="B169" s="1" t="s">
        <v>72</v>
      </c>
      <c r="C169" s="1" t="s">
        <v>412</v>
      </c>
      <c r="D169" s="1" t="s">
        <v>128</v>
      </c>
      <c r="E169" s="1">
        <v>2023</v>
      </c>
      <c r="F169" s="37" t="s">
        <v>422</v>
      </c>
      <c r="G169" s="37" t="s">
        <v>423</v>
      </c>
      <c r="H169" s="41">
        <v>1</v>
      </c>
      <c r="I169" s="50">
        <v>47.1</v>
      </c>
      <c r="J169" s="1">
        <f t="shared" si="2"/>
        <v>94.2</v>
      </c>
      <c r="K169">
        <f>J169*Emission_factor!$C$48</f>
        <v>55.841760000000001</v>
      </c>
    </row>
    <row r="170" spans="1:11" x14ac:dyDescent="0.25">
      <c r="A170" s="1">
        <v>169</v>
      </c>
      <c r="B170" s="1" t="s">
        <v>72</v>
      </c>
      <c r="C170" s="1" t="s">
        <v>412</v>
      </c>
      <c r="D170" s="1" t="s">
        <v>128</v>
      </c>
      <c r="E170" s="1">
        <v>2023</v>
      </c>
      <c r="F170" s="37" t="s">
        <v>422</v>
      </c>
      <c r="G170" s="37" t="s">
        <v>423</v>
      </c>
      <c r="H170" s="41">
        <v>37</v>
      </c>
      <c r="I170" s="50">
        <v>47.1</v>
      </c>
      <c r="J170" s="1">
        <f t="shared" si="2"/>
        <v>3485.4</v>
      </c>
      <c r="K170">
        <f>J170*Emission_factor!$C$48</f>
        <v>2066.1451200000001</v>
      </c>
    </row>
    <row r="171" spans="1:11" x14ac:dyDescent="0.25">
      <c r="A171" s="1">
        <v>170</v>
      </c>
      <c r="B171" s="1" t="s">
        <v>72</v>
      </c>
      <c r="C171" s="1" t="s">
        <v>412</v>
      </c>
      <c r="D171" s="1" t="s">
        <v>128</v>
      </c>
      <c r="E171" s="1">
        <v>2023</v>
      </c>
      <c r="F171" s="37" t="s">
        <v>422</v>
      </c>
      <c r="G171" s="37" t="s">
        <v>423</v>
      </c>
      <c r="H171" s="41">
        <v>12</v>
      </c>
      <c r="I171" s="50">
        <v>47.1</v>
      </c>
      <c r="J171" s="1">
        <f t="shared" si="2"/>
        <v>1130.4000000000001</v>
      </c>
      <c r="K171">
        <f>J171*Emission_factor!$C$48</f>
        <v>670.10112000000004</v>
      </c>
    </row>
    <row r="172" spans="1:11" x14ac:dyDescent="0.25">
      <c r="A172" s="1">
        <v>171</v>
      </c>
      <c r="B172" s="1" t="s">
        <v>72</v>
      </c>
      <c r="C172" s="1" t="s">
        <v>412</v>
      </c>
      <c r="D172" s="1" t="s">
        <v>128</v>
      </c>
      <c r="E172" s="1">
        <v>2023</v>
      </c>
      <c r="F172" s="37" t="s">
        <v>416</v>
      </c>
      <c r="G172" s="37" t="s">
        <v>421</v>
      </c>
      <c r="H172" s="41">
        <v>1</v>
      </c>
      <c r="I172" s="50">
        <v>51</v>
      </c>
      <c r="J172" s="1">
        <f t="shared" si="2"/>
        <v>102</v>
      </c>
      <c r="K172">
        <f>J172*Emission_factor!$C$48</f>
        <v>60.465600000000002</v>
      </c>
    </row>
    <row r="173" spans="1:11" x14ac:dyDescent="0.25">
      <c r="A173" s="1">
        <v>172</v>
      </c>
      <c r="B173" s="1" t="s">
        <v>72</v>
      </c>
      <c r="C173" s="1" t="s">
        <v>412</v>
      </c>
      <c r="D173" s="1" t="s">
        <v>128</v>
      </c>
      <c r="E173" s="1">
        <v>2023</v>
      </c>
      <c r="F173" s="37" t="s">
        <v>416</v>
      </c>
      <c r="G173" s="37" t="s">
        <v>421</v>
      </c>
      <c r="H173" s="41">
        <v>2</v>
      </c>
      <c r="I173" s="50">
        <v>51</v>
      </c>
      <c r="J173" s="1">
        <f t="shared" si="2"/>
        <v>204</v>
      </c>
      <c r="K173">
        <f>J173*Emission_factor!$C$48</f>
        <v>120.9312</v>
      </c>
    </row>
    <row r="174" spans="1:11" x14ac:dyDescent="0.25">
      <c r="A174" s="1">
        <v>173</v>
      </c>
      <c r="B174" s="1" t="s">
        <v>72</v>
      </c>
      <c r="C174" s="1" t="s">
        <v>412</v>
      </c>
      <c r="D174" s="1" t="s">
        <v>128</v>
      </c>
      <c r="E174" s="1">
        <v>2023</v>
      </c>
      <c r="F174" s="37" t="s">
        <v>416</v>
      </c>
      <c r="G174" s="37" t="s">
        <v>421</v>
      </c>
      <c r="H174" s="41">
        <v>1</v>
      </c>
      <c r="I174" s="50">
        <v>51</v>
      </c>
      <c r="J174" s="1">
        <f t="shared" si="2"/>
        <v>102</v>
      </c>
      <c r="K174">
        <f>J174*Emission_factor!$C$48</f>
        <v>60.465600000000002</v>
      </c>
    </row>
    <row r="175" spans="1:11" x14ac:dyDescent="0.25">
      <c r="A175" s="1">
        <v>174</v>
      </c>
      <c r="B175" s="1" t="s">
        <v>72</v>
      </c>
      <c r="C175" s="1" t="s">
        <v>412</v>
      </c>
      <c r="D175" s="1" t="s">
        <v>128</v>
      </c>
      <c r="E175" s="1">
        <v>2023</v>
      </c>
      <c r="F175" s="37" t="s">
        <v>416</v>
      </c>
      <c r="G175" s="37" t="s">
        <v>421</v>
      </c>
      <c r="H175" s="41">
        <v>7</v>
      </c>
      <c r="I175" s="50">
        <v>51</v>
      </c>
      <c r="J175" s="1">
        <f t="shared" si="2"/>
        <v>714</v>
      </c>
      <c r="K175">
        <f>J175*Emission_factor!$C$48</f>
        <v>423.25920000000002</v>
      </c>
    </row>
    <row r="176" spans="1:11" x14ac:dyDescent="0.25">
      <c r="A176" s="1">
        <v>175</v>
      </c>
      <c r="B176" s="1" t="s">
        <v>72</v>
      </c>
      <c r="C176" s="1" t="s">
        <v>412</v>
      </c>
      <c r="D176" s="1" t="s">
        <v>128</v>
      </c>
      <c r="E176" s="1">
        <v>2023</v>
      </c>
      <c r="F176" s="37" t="s">
        <v>416</v>
      </c>
      <c r="G176" s="37" t="s">
        <v>421</v>
      </c>
      <c r="H176" s="41">
        <v>39</v>
      </c>
      <c r="I176" s="50">
        <v>51</v>
      </c>
      <c r="J176" s="1">
        <f t="shared" si="2"/>
        <v>3978</v>
      </c>
      <c r="K176">
        <f>J176*Emission_factor!$C$48</f>
        <v>2358.1583999999998</v>
      </c>
    </row>
    <row r="177" spans="1:11" x14ac:dyDescent="0.25">
      <c r="A177" s="1">
        <v>176</v>
      </c>
      <c r="B177" s="1" t="s">
        <v>72</v>
      </c>
      <c r="C177" s="1" t="s">
        <v>412</v>
      </c>
      <c r="D177" s="1" t="s">
        <v>128</v>
      </c>
      <c r="E177" s="1">
        <v>2023</v>
      </c>
      <c r="F177" s="37" t="s">
        <v>426</v>
      </c>
      <c r="G177" s="37" t="s">
        <v>427</v>
      </c>
      <c r="H177" s="41">
        <v>8</v>
      </c>
      <c r="I177" s="50">
        <v>168</v>
      </c>
      <c r="J177" s="1">
        <f t="shared" si="2"/>
        <v>2688</v>
      </c>
      <c r="K177">
        <f>J177*Emission_factor!$C$48</f>
        <v>1593.4464</v>
      </c>
    </row>
    <row r="178" spans="1:11" x14ac:dyDescent="0.25">
      <c r="A178" s="1">
        <v>177</v>
      </c>
      <c r="B178" s="1" t="s">
        <v>72</v>
      </c>
      <c r="C178" s="1" t="s">
        <v>412</v>
      </c>
      <c r="D178" s="1" t="s">
        <v>128</v>
      </c>
      <c r="E178" s="1">
        <v>2023</v>
      </c>
      <c r="F178" s="37" t="s">
        <v>426</v>
      </c>
      <c r="G178" s="37" t="s">
        <v>427</v>
      </c>
      <c r="H178" s="41">
        <v>25</v>
      </c>
      <c r="I178" s="50">
        <v>168</v>
      </c>
      <c r="J178" s="1">
        <f t="shared" si="2"/>
        <v>8400</v>
      </c>
      <c r="K178">
        <f>J178*Emission_factor!$C$48</f>
        <v>4979.5199999999995</v>
      </c>
    </row>
    <row r="179" spans="1:11" x14ac:dyDescent="0.25">
      <c r="A179" s="1">
        <v>178</v>
      </c>
      <c r="B179" s="1" t="s">
        <v>72</v>
      </c>
      <c r="C179" s="1" t="s">
        <v>412</v>
      </c>
      <c r="D179" s="1" t="s">
        <v>128</v>
      </c>
      <c r="E179" s="1">
        <v>2023</v>
      </c>
      <c r="F179" s="37" t="s">
        <v>428</v>
      </c>
      <c r="G179" s="37" t="s">
        <v>429</v>
      </c>
      <c r="H179" s="41">
        <v>49</v>
      </c>
      <c r="I179" s="50">
        <v>29.4</v>
      </c>
      <c r="J179" s="1">
        <f t="shared" si="2"/>
        <v>2881.2</v>
      </c>
      <c r="K179">
        <f>J179*Emission_factor!$C$48</f>
        <v>1707.9753599999999</v>
      </c>
    </row>
    <row r="180" spans="1:11" x14ac:dyDescent="0.25">
      <c r="A180" s="1">
        <v>179</v>
      </c>
      <c r="B180" s="1" t="s">
        <v>72</v>
      </c>
      <c r="C180" s="1" t="s">
        <v>412</v>
      </c>
      <c r="D180" s="1" t="s">
        <v>128</v>
      </c>
      <c r="E180" s="1">
        <v>2023</v>
      </c>
      <c r="F180" s="37" t="s">
        <v>422</v>
      </c>
      <c r="G180" s="37" t="s">
        <v>423</v>
      </c>
      <c r="H180" s="41">
        <v>1</v>
      </c>
      <c r="I180" s="50">
        <v>47.1</v>
      </c>
      <c r="J180" s="1">
        <f t="shared" si="2"/>
        <v>94.2</v>
      </c>
      <c r="K180">
        <f>J180*Emission_factor!$C$48</f>
        <v>55.841760000000001</v>
      </c>
    </row>
    <row r="181" spans="1:11" x14ac:dyDescent="0.25">
      <c r="A181" s="1">
        <v>180</v>
      </c>
      <c r="B181" s="1" t="s">
        <v>72</v>
      </c>
      <c r="C181" s="1" t="s">
        <v>412</v>
      </c>
      <c r="D181" s="1" t="s">
        <v>128</v>
      </c>
      <c r="E181" s="1">
        <v>2023</v>
      </c>
      <c r="F181" s="37" t="s">
        <v>416</v>
      </c>
      <c r="G181" s="37" t="s">
        <v>421</v>
      </c>
      <c r="H181" s="41">
        <v>1</v>
      </c>
      <c r="I181" s="50">
        <v>51</v>
      </c>
      <c r="J181" s="1">
        <f t="shared" si="2"/>
        <v>102</v>
      </c>
      <c r="K181">
        <f>J181*Emission_factor!$C$48</f>
        <v>60.465600000000002</v>
      </c>
    </row>
    <row r="182" spans="1:11" x14ac:dyDescent="0.25">
      <c r="A182" s="1">
        <v>181</v>
      </c>
      <c r="B182" s="1" t="s">
        <v>72</v>
      </c>
      <c r="C182" s="1" t="s">
        <v>412</v>
      </c>
      <c r="D182" s="1" t="s">
        <v>128</v>
      </c>
      <c r="E182" s="1">
        <v>2023</v>
      </c>
      <c r="F182" s="37" t="s">
        <v>416</v>
      </c>
      <c r="G182" s="37" t="s">
        <v>421</v>
      </c>
      <c r="H182" s="41">
        <v>36</v>
      </c>
      <c r="I182" s="50">
        <v>51</v>
      </c>
      <c r="J182" s="1">
        <f t="shared" si="2"/>
        <v>3672</v>
      </c>
      <c r="K182">
        <f>J182*Emission_factor!$C$48</f>
        <v>2176.7615999999998</v>
      </c>
    </row>
    <row r="183" spans="1:11" x14ac:dyDescent="0.25">
      <c r="A183" s="1">
        <v>182</v>
      </c>
      <c r="B183" s="1" t="s">
        <v>72</v>
      </c>
      <c r="C183" s="1" t="s">
        <v>412</v>
      </c>
      <c r="D183" s="1" t="s">
        <v>128</v>
      </c>
      <c r="E183" s="1">
        <v>2023</v>
      </c>
      <c r="F183" s="37" t="s">
        <v>428</v>
      </c>
      <c r="G183" s="37" t="s">
        <v>429</v>
      </c>
      <c r="H183" s="41">
        <v>35</v>
      </c>
      <c r="I183" s="50">
        <v>29.4</v>
      </c>
      <c r="J183" s="1">
        <f t="shared" si="2"/>
        <v>2058</v>
      </c>
      <c r="K183">
        <f>J183*Emission_factor!$C$48</f>
        <v>1219.9824000000001</v>
      </c>
    </row>
    <row r="184" spans="1:11" x14ac:dyDescent="0.25">
      <c r="A184" s="1">
        <v>183</v>
      </c>
      <c r="B184" s="1" t="s">
        <v>72</v>
      </c>
      <c r="C184" s="1" t="s">
        <v>412</v>
      </c>
      <c r="D184" s="1" t="s">
        <v>128</v>
      </c>
      <c r="E184" s="1">
        <v>2023</v>
      </c>
      <c r="F184" s="37" t="s">
        <v>416</v>
      </c>
      <c r="G184" s="37" t="s">
        <v>421</v>
      </c>
      <c r="H184" s="41">
        <v>2</v>
      </c>
      <c r="I184" s="50">
        <v>51</v>
      </c>
      <c r="J184" s="1">
        <f t="shared" si="2"/>
        <v>204</v>
      </c>
      <c r="K184">
        <f>J184*Emission_factor!$C$48</f>
        <v>120.9312</v>
      </c>
    </row>
    <row r="185" spans="1:11" x14ac:dyDescent="0.25">
      <c r="A185" s="1">
        <v>184</v>
      </c>
      <c r="B185" s="1" t="s">
        <v>72</v>
      </c>
      <c r="C185" s="1" t="s">
        <v>412</v>
      </c>
      <c r="D185" s="1" t="s">
        <v>128</v>
      </c>
      <c r="E185" s="1">
        <v>2023</v>
      </c>
      <c r="F185" s="37" t="s">
        <v>416</v>
      </c>
      <c r="G185" s="37" t="s">
        <v>421</v>
      </c>
      <c r="H185" s="41">
        <v>17</v>
      </c>
      <c r="I185" s="50">
        <v>51</v>
      </c>
      <c r="J185" s="1">
        <f t="shared" si="2"/>
        <v>1734</v>
      </c>
      <c r="K185">
        <f>J185*Emission_factor!$C$48</f>
        <v>1027.9151999999999</v>
      </c>
    </row>
    <row r="186" spans="1:11" x14ac:dyDescent="0.25">
      <c r="A186" s="1">
        <v>185</v>
      </c>
      <c r="B186" s="1" t="s">
        <v>72</v>
      </c>
      <c r="C186" s="1" t="s">
        <v>412</v>
      </c>
      <c r="D186" s="1" t="s">
        <v>128</v>
      </c>
      <c r="E186" s="1">
        <v>2023</v>
      </c>
      <c r="F186" s="37" t="s">
        <v>416</v>
      </c>
      <c r="G186" s="37" t="s">
        <v>421</v>
      </c>
      <c r="H186" s="41">
        <v>109</v>
      </c>
      <c r="I186" s="50">
        <v>51</v>
      </c>
      <c r="J186" s="1">
        <f t="shared" si="2"/>
        <v>11118</v>
      </c>
      <c r="K186">
        <f>J186*Emission_factor!$C$48</f>
        <v>6590.7503999999999</v>
      </c>
    </row>
    <row r="187" spans="1:11" x14ac:dyDescent="0.25">
      <c r="A187" s="1">
        <v>186</v>
      </c>
      <c r="B187" s="1" t="s">
        <v>72</v>
      </c>
      <c r="C187" s="1" t="s">
        <v>412</v>
      </c>
      <c r="D187" s="1" t="s">
        <v>128</v>
      </c>
      <c r="E187" s="1">
        <v>2023</v>
      </c>
      <c r="F187" s="37" t="s">
        <v>416</v>
      </c>
      <c r="G187" s="37" t="s">
        <v>421</v>
      </c>
      <c r="H187" s="41">
        <v>5</v>
      </c>
      <c r="I187" s="50">
        <v>51</v>
      </c>
      <c r="J187" s="1">
        <f t="shared" si="2"/>
        <v>510</v>
      </c>
      <c r="K187">
        <f>J187*Emission_factor!$C$48</f>
        <v>302.32799999999997</v>
      </c>
    </row>
    <row r="188" spans="1:11" x14ac:dyDescent="0.25">
      <c r="A188" s="1">
        <v>187</v>
      </c>
      <c r="B188" s="1" t="s">
        <v>72</v>
      </c>
      <c r="C188" s="1" t="s">
        <v>412</v>
      </c>
      <c r="D188" s="1" t="s">
        <v>128</v>
      </c>
      <c r="E188" s="1">
        <v>2023</v>
      </c>
      <c r="F188" s="37" t="s">
        <v>416</v>
      </c>
      <c r="G188" s="37" t="s">
        <v>421</v>
      </c>
      <c r="H188" s="41">
        <v>62</v>
      </c>
      <c r="I188" s="50">
        <v>51</v>
      </c>
      <c r="J188" s="1">
        <f t="shared" si="2"/>
        <v>6324</v>
      </c>
      <c r="K188">
        <f>J188*Emission_factor!$C$48</f>
        <v>3748.8672000000001</v>
      </c>
    </row>
    <row r="189" spans="1:11" x14ac:dyDescent="0.25">
      <c r="A189" s="1">
        <v>188</v>
      </c>
      <c r="B189" s="1" t="s">
        <v>72</v>
      </c>
      <c r="C189" s="1" t="s">
        <v>412</v>
      </c>
      <c r="D189" s="1" t="s">
        <v>128</v>
      </c>
      <c r="E189" s="1">
        <v>2023</v>
      </c>
      <c r="F189" s="37" t="s">
        <v>426</v>
      </c>
      <c r="G189" s="37" t="s">
        <v>427</v>
      </c>
      <c r="H189" s="41">
        <v>8</v>
      </c>
      <c r="I189" s="50">
        <v>168</v>
      </c>
      <c r="J189" s="1">
        <f t="shared" si="2"/>
        <v>2688</v>
      </c>
      <c r="K189">
        <f>J189*Emission_factor!$C$48</f>
        <v>1593.4464</v>
      </c>
    </row>
    <row r="190" spans="1:11" x14ac:dyDescent="0.25">
      <c r="A190" s="1">
        <v>189</v>
      </c>
      <c r="B190" s="1" t="s">
        <v>72</v>
      </c>
      <c r="C190" s="1" t="s">
        <v>412</v>
      </c>
      <c r="D190" s="1" t="s">
        <v>128</v>
      </c>
      <c r="E190" s="1">
        <v>2023</v>
      </c>
      <c r="F190" s="37" t="s">
        <v>416</v>
      </c>
      <c r="G190" s="37" t="s">
        <v>421</v>
      </c>
      <c r="H190" s="41">
        <v>22</v>
      </c>
      <c r="I190" s="50">
        <v>51</v>
      </c>
      <c r="J190" s="1">
        <f t="shared" si="2"/>
        <v>2244</v>
      </c>
      <c r="K190">
        <f>J190*Emission_factor!$C$48</f>
        <v>1330.2431999999999</v>
      </c>
    </row>
    <row r="191" spans="1:11" x14ac:dyDescent="0.25">
      <c r="A191" s="1">
        <v>190</v>
      </c>
      <c r="B191" s="1" t="s">
        <v>72</v>
      </c>
      <c r="C191" s="1" t="s">
        <v>412</v>
      </c>
      <c r="D191" s="1" t="s">
        <v>128</v>
      </c>
      <c r="E191" s="1">
        <v>2023</v>
      </c>
      <c r="F191" s="37" t="s">
        <v>416</v>
      </c>
      <c r="G191" s="37" t="s">
        <v>421</v>
      </c>
      <c r="H191" s="41">
        <v>3</v>
      </c>
      <c r="I191" s="50">
        <v>51</v>
      </c>
      <c r="J191" s="1">
        <f t="shared" si="2"/>
        <v>306</v>
      </c>
      <c r="K191">
        <f>J191*Emission_factor!$C$48</f>
        <v>181.39679999999998</v>
      </c>
    </row>
    <row r="192" spans="1:11" x14ac:dyDescent="0.25">
      <c r="A192" s="1">
        <v>191</v>
      </c>
      <c r="B192" s="1" t="s">
        <v>72</v>
      </c>
      <c r="C192" s="1" t="s">
        <v>412</v>
      </c>
      <c r="D192" s="1" t="s">
        <v>128</v>
      </c>
      <c r="E192" s="1">
        <v>2023</v>
      </c>
      <c r="F192" s="37" t="s">
        <v>416</v>
      </c>
      <c r="G192" s="37" t="s">
        <v>421</v>
      </c>
      <c r="H192" s="41">
        <v>17</v>
      </c>
      <c r="I192" s="50">
        <v>51</v>
      </c>
      <c r="J192" s="1">
        <f t="shared" si="2"/>
        <v>1734</v>
      </c>
      <c r="K192">
        <f>J192*Emission_factor!$C$48</f>
        <v>1027.9151999999999</v>
      </c>
    </row>
    <row r="193" spans="1:11" x14ac:dyDescent="0.25">
      <c r="A193" s="1">
        <v>192</v>
      </c>
      <c r="B193" s="1" t="s">
        <v>72</v>
      </c>
      <c r="C193" s="1" t="s">
        <v>412</v>
      </c>
      <c r="D193" s="1" t="s">
        <v>128</v>
      </c>
      <c r="E193" s="1">
        <v>2023</v>
      </c>
      <c r="F193" s="37" t="s">
        <v>422</v>
      </c>
      <c r="G193" s="37" t="s">
        <v>423</v>
      </c>
      <c r="H193" s="41">
        <v>50</v>
      </c>
      <c r="I193" s="50">
        <v>47.1</v>
      </c>
      <c r="J193" s="1">
        <f t="shared" si="2"/>
        <v>4710</v>
      </c>
      <c r="K193">
        <f>J193*Emission_factor!$C$48</f>
        <v>2792.0880000000002</v>
      </c>
    </row>
    <row r="194" spans="1:11" x14ac:dyDescent="0.25">
      <c r="A194" s="1">
        <v>193</v>
      </c>
      <c r="B194" s="1" t="s">
        <v>72</v>
      </c>
      <c r="C194" s="1" t="s">
        <v>412</v>
      </c>
      <c r="D194" s="1" t="s">
        <v>128</v>
      </c>
      <c r="E194" s="1">
        <v>2023</v>
      </c>
      <c r="F194" s="37" t="s">
        <v>422</v>
      </c>
      <c r="G194" s="37" t="s">
        <v>423</v>
      </c>
      <c r="H194" s="41">
        <v>22</v>
      </c>
      <c r="I194" s="50">
        <v>47.1</v>
      </c>
      <c r="J194" s="1">
        <f t="shared" si="2"/>
        <v>2072.4</v>
      </c>
      <c r="K194">
        <f>J194*Emission_factor!$C$48</f>
        <v>1228.51872</v>
      </c>
    </row>
    <row r="195" spans="1:11" x14ac:dyDescent="0.25">
      <c r="A195" s="1">
        <v>194</v>
      </c>
      <c r="B195" s="1" t="s">
        <v>72</v>
      </c>
      <c r="C195" s="1" t="s">
        <v>412</v>
      </c>
      <c r="D195" s="1" t="s">
        <v>128</v>
      </c>
      <c r="E195" s="1">
        <v>2023</v>
      </c>
      <c r="F195" s="37" t="s">
        <v>422</v>
      </c>
      <c r="G195" s="37" t="s">
        <v>423</v>
      </c>
      <c r="H195" s="41">
        <v>19</v>
      </c>
      <c r="I195" s="50">
        <v>47.1</v>
      </c>
      <c r="J195" s="1">
        <f t="shared" ref="J195:J258" si="3">H195*I195*2</f>
        <v>1789.8</v>
      </c>
      <c r="K195">
        <f>J195*Emission_factor!$C$48</f>
        <v>1060.99344</v>
      </c>
    </row>
    <row r="196" spans="1:11" x14ac:dyDescent="0.25">
      <c r="A196" s="1">
        <v>195</v>
      </c>
      <c r="B196" s="1" t="s">
        <v>72</v>
      </c>
      <c r="C196" s="1" t="s">
        <v>412</v>
      </c>
      <c r="D196" s="1" t="s">
        <v>128</v>
      </c>
      <c r="E196" s="1">
        <v>2023</v>
      </c>
      <c r="F196" s="37" t="s">
        <v>416</v>
      </c>
      <c r="G196" s="37" t="s">
        <v>421</v>
      </c>
      <c r="H196" s="41">
        <v>2</v>
      </c>
      <c r="I196" s="50">
        <v>51</v>
      </c>
      <c r="J196" s="1">
        <f t="shared" si="3"/>
        <v>204</v>
      </c>
      <c r="K196">
        <f>J196*Emission_factor!$C$48</f>
        <v>120.9312</v>
      </c>
    </row>
    <row r="197" spans="1:11" x14ac:dyDescent="0.25">
      <c r="A197" s="1">
        <v>196</v>
      </c>
      <c r="B197" s="1" t="s">
        <v>72</v>
      </c>
      <c r="C197" s="1" t="s">
        <v>412</v>
      </c>
      <c r="D197" s="1" t="s">
        <v>128</v>
      </c>
      <c r="E197" s="1">
        <v>2023</v>
      </c>
      <c r="F197" s="37" t="s">
        <v>414</v>
      </c>
      <c r="G197" s="37" t="s">
        <v>419</v>
      </c>
      <c r="H197" s="41">
        <v>277</v>
      </c>
      <c r="I197" s="50">
        <v>44</v>
      </c>
      <c r="J197" s="1">
        <f t="shared" si="3"/>
        <v>24376</v>
      </c>
      <c r="K197">
        <f>J197*Emission_factor!$C$48</f>
        <v>14450.0928</v>
      </c>
    </row>
    <row r="198" spans="1:11" x14ac:dyDescent="0.25">
      <c r="A198" s="1">
        <v>197</v>
      </c>
      <c r="B198" s="1" t="s">
        <v>72</v>
      </c>
      <c r="C198" s="1" t="s">
        <v>412</v>
      </c>
      <c r="D198" s="1" t="s">
        <v>128</v>
      </c>
      <c r="E198" s="1">
        <v>2023</v>
      </c>
      <c r="F198" s="37" t="s">
        <v>414</v>
      </c>
      <c r="G198" s="37" t="s">
        <v>419</v>
      </c>
      <c r="H198" s="41">
        <v>148</v>
      </c>
      <c r="I198" s="50">
        <v>44</v>
      </c>
      <c r="J198" s="1">
        <f t="shared" si="3"/>
        <v>13024</v>
      </c>
      <c r="K198">
        <f>J198*Emission_factor!$C$48</f>
        <v>7720.6271999999999</v>
      </c>
    </row>
    <row r="199" spans="1:11" x14ac:dyDescent="0.25">
      <c r="A199" s="1">
        <v>198</v>
      </c>
      <c r="B199" s="1" t="s">
        <v>72</v>
      </c>
      <c r="C199" s="1" t="s">
        <v>412</v>
      </c>
      <c r="D199" s="1" t="s">
        <v>128</v>
      </c>
      <c r="E199" s="1">
        <v>2023</v>
      </c>
      <c r="F199" s="37" t="s">
        <v>414</v>
      </c>
      <c r="G199" s="37" t="s">
        <v>419</v>
      </c>
      <c r="H199" s="41">
        <v>150</v>
      </c>
      <c r="I199" s="50">
        <v>44</v>
      </c>
      <c r="J199" s="1">
        <f t="shared" si="3"/>
        <v>13200</v>
      </c>
      <c r="K199">
        <f>J199*Emission_factor!$C$48</f>
        <v>7824.96</v>
      </c>
    </row>
    <row r="200" spans="1:11" x14ac:dyDescent="0.25">
      <c r="A200" s="1">
        <v>199</v>
      </c>
      <c r="B200" s="1" t="s">
        <v>72</v>
      </c>
      <c r="C200" s="1" t="s">
        <v>412</v>
      </c>
      <c r="D200" s="1" t="s">
        <v>128</v>
      </c>
      <c r="E200" s="1">
        <v>2023</v>
      </c>
      <c r="F200" s="37" t="s">
        <v>426</v>
      </c>
      <c r="G200" s="37" t="s">
        <v>427</v>
      </c>
      <c r="H200" s="41">
        <v>84</v>
      </c>
      <c r="I200" s="50">
        <v>168</v>
      </c>
      <c r="J200" s="1">
        <f t="shared" si="3"/>
        <v>28224</v>
      </c>
      <c r="K200">
        <f>J200*Emission_factor!$C$48</f>
        <v>16731.1872</v>
      </c>
    </row>
    <row r="201" spans="1:11" ht="15" customHeight="1" x14ac:dyDescent="0.25">
      <c r="A201" s="1">
        <v>200</v>
      </c>
      <c r="B201" s="1" t="s">
        <v>72</v>
      </c>
      <c r="C201" s="1" t="s">
        <v>412</v>
      </c>
      <c r="D201" s="1" t="s">
        <v>128</v>
      </c>
      <c r="E201" s="1">
        <v>2023</v>
      </c>
      <c r="F201" s="37" t="s">
        <v>413</v>
      </c>
      <c r="G201" s="37" t="s">
        <v>417</v>
      </c>
      <c r="H201" s="41">
        <v>47</v>
      </c>
      <c r="I201" s="50">
        <v>28.1</v>
      </c>
      <c r="J201" s="1">
        <f t="shared" si="3"/>
        <v>2641.4</v>
      </c>
      <c r="K201">
        <f>J201*Emission_factor!$C$48</f>
        <v>1565.8219200000001</v>
      </c>
    </row>
    <row r="202" spans="1:11" x14ac:dyDescent="0.25">
      <c r="A202" s="1">
        <v>201</v>
      </c>
      <c r="B202" s="1" t="s">
        <v>72</v>
      </c>
      <c r="C202" s="1" t="s">
        <v>412</v>
      </c>
      <c r="D202" s="1" t="s">
        <v>128</v>
      </c>
      <c r="E202" s="1">
        <v>2023</v>
      </c>
      <c r="F202" s="37" t="s">
        <v>413</v>
      </c>
      <c r="G202" s="37" t="s">
        <v>417</v>
      </c>
      <c r="H202" s="41">
        <v>72</v>
      </c>
      <c r="I202" s="50">
        <v>28.1</v>
      </c>
      <c r="J202" s="1">
        <f t="shared" si="3"/>
        <v>4046.4</v>
      </c>
      <c r="K202">
        <f>J202*Emission_factor!$C$48</f>
        <v>2398.7059199999999</v>
      </c>
    </row>
    <row r="203" spans="1:11" x14ac:dyDescent="0.25">
      <c r="A203" s="1">
        <v>202</v>
      </c>
      <c r="B203" s="1" t="s">
        <v>72</v>
      </c>
      <c r="C203" s="1" t="s">
        <v>412</v>
      </c>
      <c r="D203" s="1" t="s">
        <v>149</v>
      </c>
      <c r="E203" s="1">
        <v>2023</v>
      </c>
      <c r="F203" s="37" t="s">
        <v>416</v>
      </c>
      <c r="G203" s="26" t="s">
        <v>421</v>
      </c>
      <c r="H203" s="34">
        <v>27</v>
      </c>
      <c r="I203" s="50">
        <v>51</v>
      </c>
      <c r="J203" s="1">
        <f t="shared" si="3"/>
        <v>2754</v>
      </c>
      <c r="K203">
        <f>J203*Emission_factor!$C$48</f>
        <v>1632.5712000000001</v>
      </c>
    </row>
    <row r="204" spans="1:11" x14ac:dyDescent="0.25">
      <c r="A204" s="1">
        <v>203</v>
      </c>
      <c r="B204" s="1" t="s">
        <v>72</v>
      </c>
      <c r="C204" s="1" t="s">
        <v>412</v>
      </c>
      <c r="D204" s="1" t="s">
        <v>149</v>
      </c>
      <c r="E204" s="1">
        <v>2023</v>
      </c>
      <c r="F204" s="37" t="s">
        <v>416</v>
      </c>
      <c r="G204" s="26" t="s">
        <v>421</v>
      </c>
      <c r="H204" s="34">
        <v>1</v>
      </c>
      <c r="I204" s="50">
        <v>51</v>
      </c>
      <c r="J204" s="1">
        <f t="shared" si="3"/>
        <v>102</v>
      </c>
      <c r="K204">
        <f>J204*Emission_factor!$C$48</f>
        <v>60.465600000000002</v>
      </c>
    </row>
    <row r="205" spans="1:11" ht="15" customHeight="1" x14ac:dyDescent="0.25">
      <c r="A205" s="1">
        <v>204</v>
      </c>
      <c r="B205" s="1" t="s">
        <v>72</v>
      </c>
      <c r="C205" s="1" t="s">
        <v>412</v>
      </c>
      <c r="D205" s="1" t="s">
        <v>149</v>
      </c>
      <c r="E205" s="1">
        <v>2023</v>
      </c>
      <c r="F205" s="37" t="s">
        <v>436</v>
      </c>
      <c r="G205" s="26" t="s">
        <v>437</v>
      </c>
      <c r="H205" s="34">
        <v>11</v>
      </c>
      <c r="I205" s="50">
        <v>73</v>
      </c>
      <c r="J205" s="1">
        <f t="shared" si="3"/>
        <v>1606</v>
      </c>
      <c r="K205">
        <f>J205*Emission_factor!$C$48</f>
        <v>952.03679999999997</v>
      </c>
    </row>
    <row r="206" spans="1:11" x14ac:dyDescent="0.25">
      <c r="A206" s="1">
        <v>205</v>
      </c>
      <c r="B206" s="1" t="s">
        <v>72</v>
      </c>
      <c r="C206" s="1" t="s">
        <v>412</v>
      </c>
      <c r="D206" s="1" t="s">
        <v>149</v>
      </c>
      <c r="E206" s="1">
        <v>2023</v>
      </c>
      <c r="F206" s="37" t="s">
        <v>436</v>
      </c>
      <c r="G206" s="26" t="s">
        <v>437</v>
      </c>
      <c r="H206" s="34">
        <v>31</v>
      </c>
      <c r="I206" s="50">
        <v>73</v>
      </c>
      <c r="J206" s="1">
        <f t="shared" si="3"/>
        <v>4526</v>
      </c>
      <c r="K206">
        <f>J206*Emission_factor!$C$48</f>
        <v>2683.0128</v>
      </c>
    </row>
    <row r="207" spans="1:11" x14ac:dyDescent="0.25">
      <c r="A207" s="1">
        <v>206</v>
      </c>
      <c r="B207" s="1" t="s">
        <v>72</v>
      </c>
      <c r="C207" s="1" t="s">
        <v>412</v>
      </c>
      <c r="D207" s="1" t="s">
        <v>149</v>
      </c>
      <c r="E207" s="1">
        <v>2023</v>
      </c>
      <c r="F207" s="37" t="s">
        <v>414</v>
      </c>
      <c r="G207" s="26" t="s">
        <v>419</v>
      </c>
      <c r="H207" s="34">
        <v>150</v>
      </c>
      <c r="I207" s="50">
        <v>44</v>
      </c>
      <c r="J207" s="1">
        <f t="shared" si="3"/>
        <v>13200</v>
      </c>
      <c r="K207">
        <f>J207*Emission_factor!$C$48</f>
        <v>7824.96</v>
      </c>
    </row>
    <row r="208" spans="1:11" x14ac:dyDescent="0.25">
      <c r="A208" s="1">
        <v>207</v>
      </c>
      <c r="B208" s="1" t="s">
        <v>72</v>
      </c>
      <c r="C208" s="1" t="s">
        <v>412</v>
      </c>
      <c r="D208" s="1" t="s">
        <v>149</v>
      </c>
      <c r="E208" s="1">
        <v>2023</v>
      </c>
      <c r="F208" s="37" t="s">
        <v>426</v>
      </c>
      <c r="G208" s="26" t="s">
        <v>427</v>
      </c>
      <c r="H208" s="34">
        <v>42</v>
      </c>
      <c r="I208" s="50">
        <v>168</v>
      </c>
      <c r="J208" s="1">
        <f t="shared" si="3"/>
        <v>14112</v>
      </c>
      <c r="K208">
        <f>J208*Emission_factor!$C$48</f>
        <v>8365.5936000000002</v>
      </c>
    </row>
    <row r="209" spans="1:11" ht="15" customHeight="1" x14ac:dyDescent="0.25">
      <c r="A209" s="1">
        <v>208</v>
      </c>
      <c r="B209" s="1" t="s">
        <v>72</v>
      </c>
      <c r="C209" s="1" t="s">
        <v>412</v>
      </c>
      <c r="D209" s="1" t="s">
        <v>149</v>
      </c>
      <c r="E209" s="1">
        <v>2023</v>
      </c>
      <c r="F209" s="37" t="s">
        <v>413</v>
      </c>
      <c r="G209" s="26" t="s">
        <v>417</v>
      </c>
      <c r="H209" s="34">
        <v>29</v>
      </c>
      <c r="I209" s="50">
        <v>28.1</v>
      </c>
      <c r="J209" s="1">
        <f t="shared" si="3"/>
        <v>1629.8000000000002</v>
      </c>
      <c r="K209">
        <f>J209*Emission_factor!$C$48</f>
        <v>966.14544000000012</v>
      </c>
    </row>
    <row r="210" spans="1:11" x14ac:dyDescent="0.25">
      <c r="A210" s="1">
        <v>209</v>
      </c>
      <c r="B210" s="1" t="s">
        <v>72</v>
      </c>
      <c r="C210" s="1" t="s">
        <v>412</v>
      </c>
      <c r="D210" s="1" t="s">
        <v>149</v>
      </c>
      <c r="E210" s="1">
        <v>2023</v>
      </c>
      <c r="F210" s="37" t="s">
        <v>413</v>
      </c>
      <c r="G210" s="26" t="s">
        <v>417</v>
      </c>
      <c r="H210" s="34">
        <v>20</v>
      </c>
      <c r="I210" s="50">
        <v>28.1</v>
      </c>
      <c r="J210" s="1">
        <f t="shared" si="3"/>
        <v>1124</v>
      </c>
      <c r="K210">
        <f>J210*Emission_factor!$C$48</f>
        <v>666.30719999999997</v>
      </c>
    </row>
    <row r="211" spans="1:11" x14ac:dyDescent="0.25">
      <c r="A211" s="1">
        <v>210</v>
      </c>
      <c r="B211" s="1" t="s">
        <v>72</v>
      </c>
      <c r="C211" s="1" t="s">
        <v>412</v>
      </c>
      <c r="D211" s="1" t="s">
        <v>149</v>
      </c>
      <c r="E211" s="1">
        <v>2023</v>
      </c>
      <c r="F211" s="37" t="s">
        <v>450</v>
      </c>
      <c r="G211" s="26" t="s">
        <v>451</v>
      </c>
      <c r="H211" s="34">
        <v>8</v>
      </c>
      <c r="I211" s="50">
        <v>47.4</v>
      </c>
      <c r="J211" s="1">
        <f t="shared" si="3"/>
        <v>758.4</v>
      </c>
      <c r="K211">
        <f>J211*Emission_factor!$C$48</f>
        <v>449.57952</v>
      </c>
    </row>
    <row r="212" spans="1:11" x14ac:dyDescent="0.25">
      <c r="A212" s="1">
        <v>211</v>
      </c>
      <c r="B212" s="1" t="s">
        <v>72</v>
      </c>
      <c r="C212" s="1" t="s">
        <v>412</v>
      </c>
      <c r="D212" s="1" t="s">
        <v>149</v>
      </c>
      <c r="E212" s="1">
        <v>2023</v>
      </c>
      <c r="F212" s="37" t="s">
        <v>414</v>
      </c>
      <c r="G212" s="26" t="s">
        <v>419</v>
      </c>
      <c r="H212" s="34">
        <v>102</v>
      </c>
      <c r="I212" s="50">
        <v>44</v>
      </c>
      <c r="J212" s="1">
        <f t="shared" si="3"/>
        <v>8976</v>
      </c>
      <c r="K212">
        <f>J212*Emission_factor!$C$48</f>
        <v>5320.9727999999996</v>
      </c>
    </row>
    <row r="213" spans="1:11" x14ac:dyDescent="0.25">
      <c r="A213" s="1">
        <v>212</v>
      </c>
      <c r="B213" s="1" t="s">
        <v>72</v>
      </c>
      <c r="C213" s="1" t="s">
        <v>412</v>
      </c>
      <c r="D213" s="1" t="s">
        <v>149</v>
      </c>
      <c r="E213" s="1">
        <v>2023</v>
      </c>
      <c r="F213" s="37" t="s">
        <v>428</v>
      </c>
      <c r="G213" s="26" t="s">
        <v>429</v>
      </c>
      <c r="H213" s="34">
        <v>50</v>
      </c>
      <c r="I213" s="50">
        <v>29.4</v>
      </c>
      <c r="J213" s="1">
        <f t="shared" si="3"/>
        <v>2940</v>
      </c>
      <c r="K213">
        <f>J213*Emission_factor!$C$48</f>
        <v>1742.8319999999999</v>
      </c>
    </row>
    <row r="214" spans="1:11" x14ac:dyDescent="0.25">
      <c r="A214" s="1">
        <v>213</v>
      </c>
      <c r="B214" s="1" t="s">
        <v>72</v>
      </c>
      <c r="C214" s="1" t="s">
        <v>412</v>
      </c>
      <c r="D214" s="1" t="s">
        <v>149</v>
      </c>
      <c r="E214" s="1">
        <v>2023</v>
      </c>
      <c r="F214" s="37" t="s">
        <v>438</v>
      </c>
      <c r="G214" s="26" t="s">
        <v>439</v>
      </c>
      <c r="H214" s="34">
        <v>99</v>
      </c>
      <c r="I214" s="50">
        <v>67.3</v>
      </c>
      <c r="J214" s="1">
        <f t="shared" si="3"/>
        <v>13325.4</v>
      </c>
      <c r="K214">
        <f>J214*Emission_factor!$C$48</f>
        <v>7899.2971199999993</v>
      </c>
    </row>
    <row r="215" spans="1:11" x14ac:dyDescent="0.25">
      <c r="A215" s="1">
        <v>214</v>
      </c>
      <c r="B215" s="1" t="s">
        <v>72</v>
      </c>
      <c r="C215" s="1" t="s">
        <v>412</v>
      </c>
      <c r="D215" s="1" t="s">
        <v>149</v>
      </c>
      <c r="E215" s="1">
        <v>2023</v>
      </c>
      <c r="F215" s="37" t="s">
        <v>413</v>
      </c>
      <c r="G215" s="26" t="s">
        <v>417</v>
      </c>
      <c r="H215" s="34">
        <v>50</v>
      </c>
      <c r="I215" s="50">
        <v>28.1</v>
      </c>
      <c r="J215" s="1">
        <f t="shared" si="3"/>
        <v>2810</v>
      </c>
      <c r="K215">
        <f>J215*Emission_factor!$C$48</f>
        <v>1665.768</v>
      </c>
    </row>
    <row r="216" spans="1:11" x14ac:dyDescent="0.25">
      <c r="A216" s="1">
        <v>215</v>
      </c>
      <c r="B216" s="1" t="s">
        <v>72</v>
      </c>
      <c r="C216" s="1" t="s">
        <v>412</v>
      </c>
      <c r="D216" s="1" t="s">
        <v>149</v>
      </c>
      <c r="E216" s="1">
        <v>2023</v>
      </c>
      <c r="F216" s="26" t="s">
        <v>426</v>
      </c>
      <c r="G216" s="26" t="s">
        <v>427</v>
      </c>
      <c r="H216" s="26">
        <v>42</v>
      </c>
      <c r="I216" s="49">
        <v>168</v>
      </c>
      <c r="J216" s="1">
        <f t="shared" si="3"/>
        <v>14112</v>
      </c>
      <c r="K216">
        <f>J216*Emission_factor!$C$48</f>
        <v>8365.5936000000002</v>
      </c>
    </row>
    <row r="217" spans="1:11" x14ac:dyDescent="0.25">
      <c r="A217" s="1">
        <v>216</v>
      </c>
      <c r="B217" s="1" t="s">
        <v>72</v>
      </c>
      <c r="C217" s="1" t="s">
        <v>412</v>
      </c>
      <c r="D217" s="1" t="s">
        <v>149</v>
      </c>
      <c r="E217" s="1">
        <v>2023</v>
      </c>
      <c r="F217" s="37" t="s">
        <v>428</v>
      </c>
      <c r="G217" s="37" t="s">
        <v>429</v>
      </c>
      <c r="H217" s="34">
        <v>50</v>
      </c>
      <c r="I217" s="50">
        <v>29.4</v>
      </c>
      <c r="J217" s="1">
        <f t="shared" si="3"/>
        <v>2940</v>
      </c>
      <c r="K217">
        <f>J217*Emission_factor!$C$48</f>
        <v>1742.8319999999999</v>
      </c>
    </row>
    <row r="218" spans="1:11" x14ac:dyDescent="0.25">
      <c r="A218" s="1">
        <v>217</v>
      </c>
      <c r="B218" s="1" t="s">
        <v>72</v>
      </c>
      <c r="C218" s="1" t="s">
        <v>412</v>
      </c>
      <c r="D218" s="1" t="s">
        <v>149</v>
      </c>
      <c r="E218" s="1">
        <v>2023</v>
      </c>
      <c r="F218" s="37" t="s">
        <v>438</v>
      </c>
      <c r="G218" s="37" t="s">
        <v>439</v>
      </c>
      <c r="H218" s="34">
        <v>1</v>
      </c>
      <c r="I218" s="50">
        <v>67.3</v>
      </c>
      <c r="J218" s="1">
        <f t="shared" si="3"/>
        <v>134.6</v>
      </c>
      <c r="K218">
        <f>J218*Emission_factor!$C$48</f>
        <v>79.790880000000001</v>
      </c>
    </row>
    <row r="219" spans="1:11" x14ac:dyDescent="0.25">
      <c r="A219" s="1">
        <v>218</v>
      </c>
      <c r="B219" s="1" t="s">
        <v>72</v>
      </c>
      <c r="C219" s="1" t="s">
        <v>412</v>
      </c>
      <c r="D219" s="1" t="s">
        <v>149</v>
      </c>
      <c r="E219" s="1">
        <v>2023</v>
      </c>
      <c r="F219" s="37" t="s">
        <v>433</v>
      </c>
      <c r="G219" s="37" t="s">
        <v>434</v>
      </c>
      <c r="H219" s="34">
        <v>8</v>
      </c>
      <c r="I219" s="50">
        <v>32.200000000000003</v>
      </c>
      <c r="J219" s="1">
        <f t="shared" si="3"/>
        <v>515.20000000000005</v>
      </c>
      <c r="K219">
        <f>J219*Emission_factor!$C$48</f>
        <v>305.41056000000003</v>
      </c>
    </row>
    <row r="220" spans="1:11" x14ac:dyDescent="0.25">
      <c r="A220" s="1">
        <v>219</v>
      </c>
      <c r="B220" s="1" t="s">
        <v>72</v>
      </c>
      <c r="C220" s="1" t="s">
        <v>412</v>
      </c>
      <c r="D220" s="1" t="s">
        <v>149</v>
      </c>
      <c r="E220" s="1">
        <v>2023</v>
      </c>
      <c r="F220" s="37" t="s">
        <v>433</v>
      </c>
      <c r="G220" s="37" t="s">
        <v>434</v>
      </c>
      <c r="H220" s="34">
        <v>8</v>
      </c>
      <c r="I220" s="50">
        <v>32.200000000000003</v>
      </c>
      <c r="J220" s="1">
        <f t="shared" si="3"/>
        <v>515.20000000000005</v>
      </c>
      <c r="K220">
        <f>J220*Emission_factor!$C$48</f>
        <v>305.41056000000003</v>
      </c>
    </row>
    <row r="221" spans="1:11" ht="15" customHeight="1" x14ac:dyDescent="0.25">
      <c r="A221" s="1">
        <v>220</v>
      </c>
      <c r="B221" s="1" t="s">
        <v>72</v>
      </c>
      <c r="C221" s="1" t="s">
        <v>412</v>
      </c>
      <c r="D221" s="1" t="s">
        <v>149</v>
      </c>
      <c r="E221" s="1">
        <v>2023</v>
      </c>
      <c r="F221" s="37" t="s">
        <v>413</v>
      </c>
      <c r="G221" s="37" t="s">
        <v>417</v>
      </c>
      <c r="H221" s="34">
        <v>37</v>
      </c>
      <c r="I221" s="50">
        <v>28.1</v>
      </c>
      <c r="J221" s="1">
        <f t="shared" si="3"/>
        <v>2079.4</v>
      </c>
      <c r="K221">
        <f>J221*Emission_factor!$C$48</f>
        <v>1232.66832</v>
      </c>
    </row>
    <row r="222" spans="1:11" x14ac:dyDescent="0.25">
      <c r="A222" s="1">
        <v>221</v>
      </c>
      <c r="B222" s="1" t="s">
        <v>72</v>
      </c>
      <c r="C222" s="1" t="s">
        <v>412</v>
      </c>
      <c r="D222" s="1" t="s">
        <v>149</v>
      </c>
      <c r="E222" s="1">
        <v>2023</v>
      </c>
      <c r="F222" s="37" t="s">
        <v>413</v>
      </c>
      <c r="G222" s="37" t="s">
        <v>417</v>
      </c>
      <c r="H222" s="34">
        <v>42</v>
      </c>
      <c r="I222" s="50">
        <v>28.1</v>
      </c>
      <c r="J222" s="1">
        <f t="shared" si="3"/>
        <v>2360.4</v>
      </c>
      <c r="K222">
        <f>J222*Emission_factor!$C$48</f>
        <v>1399.24512</v>
      </c>
    </row>
    <row r="223" spans="1:11" x14ac:dyDescent="0.25">
      <c r="A223" s="1">
        <v>222</v>
      </c>
      <c r="B223" s="1" t="s">
        <v>72</v>
      </c>
      <c r="C223" s="1" t="s">
        <v>412</v>
      </c>
      <c r="D223" s="1" t="s">
        <v>149</v>
      </c>
      <c r="E223" s="1">
        <v>2023</v>
      </c>
      <c r="F223" s="37" t="s">
        <v>413</v>
      </c>
      <c r="G223" s="37" t="s">
        <v>417</v>
      </c>
      <c r="H223" s="34">
        <v>39</v>
      </c>
      <c r="I223" s="50">
        <v>28.1</v>
      </c>
      <c r="J223" s="1">
        <f t="shared" si="3"/>
        <v>2191.8000000000002</v>
      </c>
      <c r="K223">
        <f>J223*Emission_factor!$C$48</f>
        <v>1299.2990400000001</v>
      </c>
    </row>
    <row r="224" spans="1:11" x14ac:dyDescent="0.25">
      <c r="A224" s="1">
        <v>223</v>
      </c>
      <c r="B224" s="1" t="s">
        <v>72</v>
      </c>
      <c r="C224" s="1" t="s">
        <v>412</v>
      </c>
      <c r="D224" s="1" t="s">
        <v>149</v>
      </c>
      <c r="E224" s="1">
        <v>2023</v>
      </c>
      <c r="F224" s="37" t="s">
        <v>426</v>
      </c>
      <c r="G224" s="37" t="s">
        <v>427</v>
      </c>
      <c r="H224" s="34">
        <v>16</v>
      </c>
      <c r="I224" s="50">
        <v>168</v>
      </c>
      <c r="J224" s="1">
        <f t="shared" si="3"/>
        <v>5376</v>
      </c>
      <c r="K224">
        <f>J224*Emission_factor!$C$48</f>
        <v>3186.8928000000001</v>
      </c>
    </row>
    <row r="225" spans="1:11" x14ac:dyDescent="0.25">
      <c r="A225" s="1">
        <v>224</v>
      </c>
      <c r="B225" s="1" t="s">
        <v>72</v>
      </c>
      <c r="C225" s="1" t="s">
        <v>412</v>
      </c>
      <c r="D225" s="1" t="s">
        <v>149</v>
      </c>
      <c r="E225" s="1">
        <v>2023</v>
      </c>
      <c r="F225" s="37" t="s">
        <v>438</v>
      </c>
      <c r="G225" s="37" t="s">
        <v>439</v>
      </c>
      <c r="H225" s="34">
        <v>2</v>
      </c>
      <c r="I225" s="50">
        <v>67.3</v>
      </c>
      <c r="J225" s="1">
        <f t="shared" si="3"/>
        <v>269.2</v>
      </c>
      <c r="K225">
        <f>J225*Emission_factor!$C$48</f>
        <v>159.58176</v>
      </c>
    </row>
    <row r="226" spans="1:11" x14ac:dyDescent="0.25">
      <c r="A226" s="1">
        <v>225</v>
      </c>
      <c r="B226" s="1" t="s">
        <v>72</v>
      </c>
      <c r="C226" s="1" t="s">
        <v>412</v>
      </c>
      <c r="D226" s="1" t="s">
        <v>149</v>
      </c>
      <c r="E226" s="1">
        <v>2023</v>
      </c>
      <c r="F226" s="37" t="s">
        <v>438</v>
      </c>
      <c r="G226" s="37" t="s">
        <v>439</v>
      </c>
      <c r="H226" s="34">
        <v>84</v>
      </c>
      <c r="I226" s="50">
        <v>67.3</v>
      </c>
      <c r="J226" s="1">
        <f t="shared" si="3"/>
        <v>11306.4</v>
      </c>
      <c r="K226">
        <f>J226*Emission_factor!$C$48</f>
        <v>6702.4339199999995</v>
      </c>
    </row>
    <row r="227" spans="1:11" x14ac:dyDescent="0.25">
      <c r="A227" s="1">
        <v>226</v>
      </c>
      <c r="B227" s="1" t="s">
        <v>72</v>
      </c>
      <c r="C227" s="1" t="s">
        <v>412</v>
      </c>
      <c r="D227" s="1" t="s">
        <v>149</v>
      </c>
      <c r="E227" s="1">
        <v>2023</v>
      </c>
      <c r="F227" s="37" t="s">
        <v>413</v>
      </c>
      <c r="G227" s="37" t="s">
        <v>417</v>
      </c>
      <c r="H227" s="34">
        <v>2</v>
      </c>
      <c r="I227" s="50">
        <v>28.1</v>
      </c>
      <c r="J227" s="1">
        <f t="shared" si="3"/>
        <v>112.4</v>
      </c>
      <c r="K227">
        <f>J227*Emission_factor!$C$48</f>
        <v>66.630719999999997</v>
      </c>
    </row>
    <row r="228" spans="1:11" x14ac:dyDescent="0.25">
      <c r="A228" s="1">
        <v>227</v>
      </c>
      <c r="B228" s="1" t="s">
        <v>72</v>
      </c>
      <c r="C228" s="1" t="s">
        <v>412</v>
      </c>
      <c r="D228" s="1" t="s">
        <v>149</v>
      </c>
      <c r="E228" s="1">
        <v>2023</v>
      </c>
      <c r="F228" s="37" t="s">
        <v>444</v>
      </c>
      <c r="G228" s="37" t="s">
        <v>445</v>
      </c>
      <c r="H228" s="34">
        <v>49</v>
      </c>
      <c r="I228" s="50">
        <v>81.3</v>
      </c>
      <c r="J228" s="1">
        <f t="shared" si="3"/>
        <v>7967.4</v>
      </c>
      <c r="K228">
        <f>J228*Emission_factor!$C$48</f>
        <v>4723.0747199999996</v>
      </c>
    </row>
    <row r="229" spans="1:11" x14ac:dyDescent="0.25">
      <c r="A229" s="1">
        <v>228</v>
      </c>
      <c r="B229" s="1" t="s">
        <v>72</v>
      </c>
      <c r="C229" s="1" t="s">
        <v>412</v>
      </c>
      <c r="D229" s="1" t="s">
        <v>149</v>
      </c>
      <c r="E229" s="1">
        <v>2023</v>
      </c>
      <c r="F229" s="37" t="s">
        <v>416</v>
      </c>
      <c r="G229" s="37" t="s">
        <v>421</v>
      </c>
      <c r="H229" s="34">
        <v>1</v>
      </c>
      <c r="I229" s="50">
        <v>51</v>
      </c>
      <c r="J229" s="1">
        <f t="shared" si="3"/>
        <v>102</v>
      </c>
      <c r="K229">
        <f>J229*Emission_factor!$C$48</f>
        <v>60.465600000000002</v>
      </c>
    </row>
    <row r="230" spans="1:11" x14ac:dyDescent="0.25">
      <c r="A230" s="1">
        <v>229</v>
      </c>
      <c r="B230" s="1" t="s">
        <v>72</v>
      </c>
      <c r="C230" s="1" t="s">
        <v>412</v>
      </c>
      <c r="D230" s="1" t="s">
        <v>149</v>
      </c>
      <c r="E230" s="1">
        <v>2023</v>
      </c>
      <c r="F230" s="37" t="s">
        <v>416</v>
      </c>
      <c r="G230" s="37" t="s">
        <v>421</v>
      </c>
      <c r="H230" s="34">
        <v>125</v>
      </c>
      <c r="I230" s="50">
        <v>51</v>
      </c>
      <c r="J230" s="1">
        <f t="shared" si="3"/>
        <v>12750</v>
      </c>
      <c r="K230">
        <f>J230*Emission_factor!$C$48</f>
        <v>7558.2</v>
      </c>
    </row>
    <row r="231" spans="1:11" x14ac:dyDescent="0.25">
      <c r="A231" s="1">
        <v>230</v>
      </c>
      <c r="B231" s="1" t="s">
        <v>72</v>
      </c>
      <c r="C231" s="1" t="s">
        <v>412</v>
      </c>
      <c r="D231" s="1" t="s">
        <v>149</v>
      </c>
      <c r="E231" s="1">
        <v>2023</v>
      </c>
      <c r="F231" s="37" t="s">
        <v>426</v>
      </c>
      <c r="G231" s="37" t="s">
        <v>427</v>
      </c>
      <c r="H231" s="34">
        <v>1</v>
      </c>
      <c r="I231" s="50">
        <v>168</v>
      </c>
      <c r="J231" s="1">
        <f t="shared" si="3"/>
        <v>336</v>
      </c>
      <c r="K231">
        <f>J231*Emission_factor!$C$48</f>
        <v>199.1808</v>
      </c>
    </row>
    <row r="232" spans="1:11" x14ac:dyDescent="0.25">
      <c r="A232" s="1">
        <v>231</v>
      </c>
      <c r="B232" s="1" t="s">
        <v>72</v>
      </c>
      <c r="C232" s="1" t="s">
        <v>412</v>
      </c>
      <c r="D232" s="1" t="s">
        <v>149</v>
      </c>
      <c r="E232" s="1">
        <v>2023</v>
      </c>
      <c r="F232" s="37" t="s">
        <v>426</v>
      </c>
      <c r="G232" s="37" t="s">
        <v>427</v>
      </c>
      <c r="H232" s="34">
        <v>42</v>
      </c>
      <c r="I232" s="50">
        <v>168</v>
      </c>
      <c r="J232" s="1">
        <f t="shared" si="3"/>
        <v>14112</v>
      </c>
      <c r="K232">
        <f>J232*Emission_factor!$C$48</f>
        <v>8365.5936000000002</v>
      </c>
    </row>
    <row r="233" spans="1:11" x14ac:dyDescent="0.25">
      <c r="A233" s="1">
        <v>232</v>
      </c>
      <c r="B233" s="1" t="s">
        <v>72</v>
      </c>
      <c r="C233" s="1" t="s">
        <v>412</v>
      </c>
      <c r="D233" s="1" t="s">
        <v>149</v>
      </c>
      <c r="E233" s="1">
        <v>2023</v>
      </c>
      <c r="F233" s="37" t="s">
        <v>428</v>
      </c>
      <c r="G233" s="37" t="s">
        <v>429</v>
      </c>
      <c r="H233" s="34">
        <v>11</v>
      </c>
      <c r="I233" s="50">
        <v>29.4</v>
      </c>
      <c r="J233" s="1">
        <f t="shared" si="3"/>
        <v>646.79999999999995</v>
      </c>
      <c r="K233">
        <f>J233*Emission_factor!$C$48</f>
        <v>383.42303999999996</v>
      </c>
    </row>
    <row r="234" spans="1:11" x14ac:dyDescent="0.25">
      <c r="A234" s="1">
        <v>233</v>
      </c>
      <c r="B234" s="1" t="s">
        <v>72</v>
      </c>
      <c r="C234" s="1" t="s">
        <v>412</v>
      </c>
      <c r="D234" s="1" t="s">
        <v>149</v>
      </c>
      <c r="E234" s="1">
        <v>2023</v>
      </c>
      <c r="F234" s="37" t="s">
        <v>428</v>
      </c>
      <c r="G234" s="37" t="s">
        <v>429</v>
      </c>
      <c r="H234" s="34">
        <v>13</v>
      </c>
      <c r="I234" s="50">
        <v>29.4</v>
      </c>
      <c r="J234" s="1">
        <f t="shared" si="3"/>
        <v>764.4</v>
      </c>
      <c r="K234">
        <f>J234*Emission_factor!$C$48</f>
        <v>453.13631999999996</v>
      </c>
    </row>
    <row r="235" spans="1:11" x14ac:dyDescent="0.25">
      <c r="A235" s="1">
        <v>234</v>
      </c>
      <c r="B235" s="1" t="s">
        <v>72</v>
      </c>
      <c r="C235" s="1" t="s">
        <v>412</v>
      </c>
      <c r="D235" s="1" t="s">
        <v>149</v>
      </c>
      <c r="E235" s="1">
        <v>2023</v>
      </c>
      <c r="F235" s="37" t="s">
        <v>428</v>
      </c>
      <c r="G235" s="37" t="s">
        <v>429</v>
      </c>
      <c r="H235" s="34">
        <v>45</v>
      </c>
      <c r="I235" s="50">
        <v>29.4</v>
      </c>
      <c r="J235" s="1">
        <f t="shared" si="3"/>
        <v>2646</v>
      </c>
      <c r="K235">
        <f>J235*Emission_factor!$C$48</f>
        <v>1568.5488</v>
      </c>
    </row>
    <row r="236" spans="1:11" x14ac:dyDescent="0.25">
      <c r="A236" s="1">
        <v>235</v>
      </c>
      <c r="B236" s="1" t="s">
        <v>72</v>
      </c>
      <c r="C236" s="1" t="s">
        <v>412</v>
      </c>
      <c r="D236" s="1" t="s">
        <v>149</v>
      </c>
      <c r="E236" s="1">
        <v>2023</v>
      </c>
      <c r="F236" s="37" t="s">
        <v>438</v>
      </c>
      <c r="G236" s="37" t="s">
        <v>439</v>
      </c>
      <c r="H236" s="34">
        <v>1</v>
      </c>
      <c r="I236" s="50">
        <v>67.3</v>
      </c>
      <c r="J236" s="1">
        <f t="shared" si="3"/>
        <v>134.6</v>
      </c>
      <c r="K236">
        <f>J236*Emission_factor!$C$48</f>
        <v>79.790880000000001</v>
      </c>
    </row>
    <row r="237" spans="1:11" x14ac:dyDescent="0.25">
      <c r="A237" s="1">
        <v>236</v>
      </c>
      <c r="B237" s="1" t="s">
        <v>72</v>
      </c>
      <c r="C237" s="1" t="s">
        <v>412</v>
      </c>
      <c r="D237" s="1" t="s">
        <v>149</v>
      </c>
      <c r="E237" s="1">
        <v>2023</v>
      </c>
      <c r="F237" s="37" t="s">
        <v>438</v>
      </c>
      <c r="G237" s="37" t="s">
        <v>439</v>
      </c>
      <c r="H237" s="34">
        <v>83</v>
      </c>
      <c r="I237" s="50">
        <v>67.3</v>
      </c>
      <c r="J237" s="1">
        <f t="shared" si="3"/>
        <v>11171.8</v>
      </c>
      <c r="K237">
        <f>J237*Emission_factor!$C$48</f>
        <v>6622.6430399999999</v>
      </c>
    </row>
    <row r="238" spans="1:11" x14ac:dyDescent="0.25">
      <c r="A238" s="1">
        <v>237</v>
      </c>
      <c r="B238" s="1" t="s">
        <v>72</v>
      </c>
      <c r="C238" s="1" t="s">
        <v>412</v>
      </c>
      <c r="D238" s="1" t="s">
        <v>149</v>
      </c>
      <c r="E238" s="1">
        <v>2023</v>
      </c>
      <c r="F238" s="37" t="s">
        <v>416</v>
      </c>
      <c r="G238" s="37" t="s">
        <v>421</v>
      </c>
      <c r="H238" s="34">
        <v>130</v>
      </c>
      <c r="I238" s="50">
        <v>51</v>
      </c>
      <c r="J238" s="1">
        <f t="shared" si="3"/>
        <v>13260</v>
      </c>
      <c r="K238">
        <f>J238*Emission_factor!$C$48</f>
        <v>7860.5280000000002</v>
      </c>
    </row>
    <row r="239" spans="1:11" ht="15" customHeight="1" x14ac:dyDescent="0.25">
      <c r="A239" s="1">
        <v>238</v>
      </c>
      <c r="B239" s="1" t="s">
        <v>72</v>
      </c>
      <c r="C239" s="1" t="s">
        <v>412</v>
      </c>
      <c r="D239" s="1" t="s">
        <v>149</v>
      </c>
      <c r="E239" s="1">
        <v>2023</v>
      </c>
      <c r="F239" s="37" t="s">
        <v>436</v>
      </c>
      <c r="G239" s="37" t="s">
        <v>437</v>
      </c>
      <c r="H239" s="34">
        <v>13</v>
      </c>
      <c r="I239" s="50">
        <v>73</v>
      </c>
      <c r="J239" s="1">
        <f t="shared" si="3"/>
        <v>1898</v>
      </c>
      <c r="K239">
        <f>J239*Emission_factor!$C$48</f>
        <v>1125.1343999999999</v>
      </c>
    </row>
    <row r="240" spans="1:11" x14ac:dyDescent="0.25">
      <c r="A240" s="1">
        <v>239</v>
      </c>
      <c r="B240" s="1" t="s">
        <v>72</v>
      </c>
      <c r="C240" s="1" t="s">
        <v>412</v>
      </c>
      <c r="D240" s="1" t="s">
        <v>149</v>
      </c>
      <c r="E240" s="1">
        <v>2023</v>
      </c>
      <c r="F240" s="37" t="s">
        <v>436</v>
      </c>
      <c r="G240" s="37" t="s">
        <v>437</v>
      </c>
      <c r="H240" s="34">
        <v>17</v>
      </c>
      <c r="I240" s="50">
        <v>73</v>
      </c>
      <c r="J240" s="1">
        <f t="shared" si="3"/>
        <v>2482</v>
      </c>
      <c r="K240">
        <f>J240*Emission_factor!$C$48</f>
        <v>1471.3296</v>
      </c>
    </row>
    <row r="241" spans="1:11" x14ac:dyDescent="0.25">
      <c r="A241" s="1">
        <v>240</v>
      </c>
      <c r="B241" s="1" t="s">
        <v>72</v>
      </c>
      <c r="C241" s="1" t="s">
        <v>412</v>
      </c>
      <c r="D241" s="1" t="s">
        <v>149</v>
      </c>
      <c r="E241" s="1">
        <v>2023</v>
      </c>
      <c r="F241" s="37" t="s">
        <v>426</v>
      </c>
      <c r="G241" s="37" t="s">
        <v>427</v>
      </c>
      <c r="H241" s="34">
        <v>84</v>
      </c>
      <c r="I241" s="50">
        <v>168</v>
      </c>
      <c r="J241" s="1">
        <f t="shared" si="3"/>
        <v>28224</v>
      </c>
      <c r="K241">
        <f>J241*Emission_factor!$C$48</f>
        <v>16731.1872</v>
      </c>
    </row>
    <row r="242" spans="1:11" x14ac:dyDescent="0.25">
      <c r="A242" s="1">
        <v>241</v>
      </c>
      <c r="B242" s="1" t="s">
        <v>72</v>
      </c>
      <c r="C242" s="1" t="s">
        <v>412</v>
      </c>
      <c r="D242" s="1" t="s">
        <v>149</v>
      </c>
      <c r="E242" s="1">
        <v>2023</v>
      </c>
      <c r="F242" s="37" t="s">
        <v>428</v>
      </c>
      <c r="G242" s="37" t="s">
        <v>429</v>
      </c>
      <c r="H242" s="34">
        <v>3</v>
      </c>
      <c r="I242" s="50">
        <v>29.4</v>
      </c>
      <c r="J242" s="1">
        <f t="shared" si="3"/>
        <v>176.39999999999998</v>
      </c>
      <c r="K242">
        <f>J242*Emission_factor!$C$48</f>
        <v>104.56991999999998</v>
      </c>
    </row>
    <row r="243" spans="1:11" x14ac:dyDescent="0.25">
      <c r="A243" s="1">
        <v>242</v>
      </c>
      <c r="B243" s="1" t="s">
        <v>72</v>
      </c>
      <c r="C243" s="1" t="s">
        <v>412</v>
      </c>
      <c r="D243" s="1" t="s">
        <v>149</v>
      </c>
      <c r="E243" s="1">
        <v>2023</v>
      </c>
      <c r="F243" s="37" t="s">
        <v>422</v>
      </c>
      <c r="G243" s="37" t="s">
        <v>423</v>
      </c>
      <c r="H243" s="34">
        <v>50</v>
      </c>
      <c r="I243" s="50">
        <v>47.1</v>
      </c>
      <c r="J243" s="1">
        <f t="shared" si="3"/>
        <v>4710</v>
      </c>
      <c r="K243">
        <f>J243*Emission_factor!$C$48</f>
        <v>2792.0880000000002</v>
      </c>
    </row>
    <row r="244" spans="1:11" x14ac:dyDescent="0.25">
      <c r="A244" s="1">
        <v>243</v>
      </c>
      <c r="B244" s="1" t="s">
        <v>72</v>
      </c>
      <c r="C244" s="1" t="s">
        <v>412</v>
      </c>
      <c r="D244" s="1" t="s">
        <v>149</v>
      </c>
      <c r="E244" s="1">
        <v>2023</v>
      </c>
      <c r="F244" s="37" t="s">
        <v>444</v>
      </c>
      <c r="G244" s="37" t="s">
        <v>445</v>
      </c>
      <c r="H244" s="34">
        <v>30</v>
      </c>
      <c r="I244" s="50">
        <v>81.3</v>
      </c>
      <c r="J244" s="1">
        <f t="shared" si="3"/>
        <v>4878</v>
      </c>
      <c r="K244">
        <f>J244*Emission_factor!$C$48</f>
        <v>2891.6783999999998</v>
      </c>
    </row>
    <row r="245" spans="1:11" x14ac:dyDescent="0.25">
      <c r="A245" s="1">
        <v>244</v>
      </c>
      <c r="B245" s="1" t="s">
        <v>72</v>
      </c>
      <c r="C245" s="1" t="s">
        <v>412</v>
      </c>
      <c r="D245" s="1" t="s">
        <v>149</v>
      </c>
      <c r="E245" s="1">
        <v>2023</v>
      </c>
      <c r="F245" s="37" t="s">
        <v>436</v>
      </c>
      <c r="G245" s="37" t="s">
        <v>437</v>
      </c>
      <c r="H245" s="34">
        <v>50</v>
      </c>
      <c r="I245" s="50">
        <v>73</v>
      </c>
      <c r="J245" s="1">
        <f t="shared" si="3"/>
        <v>7300</v>
      </c>
      <c r="K245">
        <f>J245*Emission_factor!$C$48</f>
        <v>4327.4399999999996</v>
      </c>
    </row>
    <row r="246" spans="1:11" x14ac:dyDescent="0.25">
      <c r="A246" s="1">
        <v>245</v>
      </c>
      <c r="B246" s="1" t="s">
        <v>72</v>
      </c>
      <c r="C246" s="1" t="s">
        <v>412</v>
      </c>
      <c r="D246" s="1" t="s">
        <v>149</v>
      </c>
      <c r="E246" s="1">
        <v>2023</v>
      </c>
      <c r="F246" s="37" t="s">
        <v>422</v>
      </c>
      <c r="G246" s="26" t="s">
        <v>423</v>
      </c>
      <c r="H246" s="34">
        <v>50</v>
      </c>
      <c r="I246" s="50">
        <v>47.1</v>
      </c>
      <c r="J246" s="1">
        <f t="shared" si="3"/>
        <v>4710</v>
      </c>
      <c r="K246">
        <f>J246*Emission_factor!$C$48</f>
        <v>2792.0880000000002</v>
      </c>
    </row>
    <row r="247" spans="1:11" x14ac:dyDescent="0.25">
      <c r="A247" s="1">
        <v>246</v>
      </c>
      <c r="B247" s="1" t="s">
        <v>72</v>
      </c>
      <c r="C247" s="1" t="s">
        <v>412</v>
      </c>
      <c r="D247" s="1" t="s">
        <v>149</v>
      </c>
      <c r="E247" s="1">
        <v>2023</v>
      </c>
      <c r="F247" s="37" t="s">
        <v>416</v>
      </c>
      <c r="G247" s="26" t="s">
        <v>421</v>
      </c>
      <c r="H247" s="34">
        <v>100</v>
      </c>
      <c r="I247" s="50">
        <v>51</v>
      </c>
      <c r="J247" s="1">
        <f t="shared" si="3"/>
        <v>10200</v>
      </c>
      <c r="K247">
        <f>J247*Emission_factor!$C$48</f>
        <v>6046.5599999999995</v>
      </c>
    </row>
    <row r="248" spans="1:11" x14ac:dyDescent="0.25">
      <c r="A248" s="1">
        <v>247</v>
      </c>
      <c r="B248" s="1" t="s">
        <v>72</v>
      </c>
      <c r="C248" s="1" t="s">
        <v>412</v>
      </c>
      <c r="D248" s="1" t="s">
        <v>149</v>
      </c>
      <c r="E248" s="1">
        <v>2023</v>
      </c>
      <c r="F248" s="37" t="s">
        <v>428</v>
      </c>
      <c r="G248" s="26" t="s">
        <v>429</v>
      </c>
      <c r="H248" s="34">
        <v>16</v>
      </c>
      <c r="I248" s="50">
        <v>29.4</v>
      </c>
      <c r="J248" s="1">
        <f t="shared" si="3"/>
        <v>940.8</v>
      </c>
      <c r="K248">
        <f>J248*Emission_factor!$C$48</f>
        <v>557.70623999999998</v>
      </c>
    </row>
    <row r="249" spans="1:11" x14ac:dyDescent="0.25">
      <c r="A249" s="1">
        <v>248</v>
      </c>
      <c r="B249" s="1" t="s">
        <v>72</v>
      </c>
      <c r="C249" s="1" t="s">
        <v>412</v>
      </c>
      <c r="D249" s="1" t="s">
        <v>149</v>
      </c>
      <c r="E249" s="1">
        <v>2023</v>
      </c>
      <c r="F249" s="37" t="s">
        <v>438</v>
      </c>
      <c r="G249" s="26" t="s">
        <v>439</v>
      </c>
      <c r="H249" s="34">
        <v>84</v>
      </c>
      <c r="I249" s="50">
        <v>67.3</v>
      </c>
      <c r="J249" s="1">
        <f t="shared" si="3"/>
        <v>11306.4</v>
      </c>
      <c r="K249">
        <f>J249*Emission_factor!$C$48</f>
        <v>6702.4339199999995</v>
      </c>
    </row>
    <row r="250" spans="1:11" x14ac:dyDescent="0.25">
      <c r="A250" s="1">
        <v>249</v>
      </c>
      <c r="B250" s="1" t="s">
        <v>72</v>
      </c>
      <c r="C250" s="1" t="s">
        <v>412</v>
      </c>
      <c r="D250" s="1" t="s">
        <v>149</v>
      </c>
      <c r="E250" s="1">
        <v>2023</v>
      </c>
      <c r="F250" s="37" t="s">
        <v>442</v>
      </c>
      <c r="G250" s="26" t="s">
        <v>443</v>
      </c>
      <c r="H250" s="34">
        <v>8</v>
      </c>
      <c r="I250" s="50">
        <v>102</v>
      </c>
      <c r="J250" s="1">
        <f t="shared" si="3"/>
        <v>1632</v>
      </c>
      <c r="K250">
        <f>J250*Emission_factor!$C$48</f>
        <v>967.44960000000003</v>
      </c>
    </row>
    <row r="251" spans="1:11" x14ac:dyDescent="0.25">
      <c r="A251" s="1">
        <v>250</v>
      </c>
      <c r="B251" s="1" t="s">
        <v>72</v>
      </c>
      <c r="C251" s="1" t="s">
        <v>412</v>
      </c>
      <c r="D251" s="1" t="s">
        <v>149</v>
      </c>
      <c r="E251" s="1">
        <v>2023</v>
      </c>
      <c r="F251" s="26" t="s">
        <v>422</v>
      </c>
      <c r="G251" s="26" t="s">
        <v>423</v>
      </c>
      <c r="H251" s="26">
        <v>52</v>
      </c>
      <c r="I251" s="49">
        <v>47.1</v>
      </c>
      <c r="J251" s="1">
        <f t="shared" si="3"/>
        <v>4898.4000000000005</v>
      </c>
      <c r="K251">
        <f>J251*Emission_factor!$C$48</f>
        <v>2903.7715200000002</v>
      </c>
    </row>
    <row r="252" spans="1:11" x14ac:dyDescent="0.25">
      <c r="A252" s="1">
        <v>251</v>
      </c>
      <c r="B252" s="1" t="s">
        <v>72</v>
      </c>
      <c r="C252" s="1" t="s">
        <v>412</v>
      </c>
      <c r="D252" s="1" t="s">
        <v>149</v>
      </c>
      <c r="E252" s="1">
        <v>2023</v>
      </c>
      <c r="F252" s="26" t="s">
        <v>444</v>
      </c>
      <c r="G252" s="26" t="s">
        <v>445</v>
      </c>
      <c r="H252" s="26">
        <v>20</v>
      </c>
      <c r="I252" s="49">
        <v>81.3</v>
      </c>
      <c r="J252" s="1">
        <f t="shared" si="3"/>
        <v>3252</v>
      </c>
      <c r="K252">
        <f>J252*Emission_factor!$C$48</f>
        <v>1927.7855999999999</v>
      </c>
    </row>
    <row r="253" spans="1:11" x14ac:dyDescent="0.25">
      <c r="A253" s="1">
        <v>252</v>
      </c>
      <c r="B253" s="1" t="s">
        <v>72</v>
      </c>
      <c r="C253" s="1" t="s">
        <v>412</v>
      </c>
      <c r="D253" s="1" t="s">
        <v>149</v>
      </c>
      <c r="E253" s="1">
        <v>2023</v>
      </c>
      <c r="F253" s="26" t="s">
        <v>444</v>
      </c>
      <c r="G253" s="26" t="s">
        <v>445</v>
      </c>
      <c r="H253" s="26">
        <v>50</v>
      </c>
      <c r="I253" s="49">
        <v>81.3</v>
      </c>
      <c r="J253" s="1">
        <f t="shared" si="3"/>
        <v>8130</v>
      </c>
      <c r="K253">
        <f>J253*Emission_factor!$C$48</f>
        <v>4819.4639999999999</v>
      </c>
    </row>
    <row r="254" spans="1:11" x14ac:dyDescent="0.25">
      <c r="A254" s="1">
        <v>253</v>
      </c>
      <c r="B254" s="1" t="s">
        <v>72</v>
      </c>
      <c r="C254" s="1" t="s">
        <v>412</v>
      </c>
      <c r="D254" s="1" t="s">
        <v>149</v>
      </c>
      <c r="E254" s="1">
        <v>2023</v>
      </c>
      <c r="F254" s="26" t="s">
        <v>416</v>
      </c>
      <c r="G254" s="26" t="s">
        <v>421</v>
      </c>
      <c r="H254" s="26">
        <v>69</v>
      </c>
      <c r="I254" s="49">
        <v>51</v>
      </c>
      <c r="J254" s="1">
        <f t="shared" si="3"/>
        <v>7038</v>
      </c>
      <c r="K254">
        <f>J254*Emission_factor!$C$48</f>
        <v>4172.1264000000001</v>
      </c>
    </row>
    <row r="255" spans="1:11" x14ac:dyDescent="0.25">
      <c r="A255" s="1">
        <v>254</v>
      </c>
      <c r="B255" s="1" t="s">
        <v>72</v>
      </c>
      <c r="C255" s="1" t="s">
        <v>412</v>
      </c>
      <c r="D255" s="1" t="s">
        <v>149</v>
      </c>
      <c r="E255" s="1">
        <v>2023</v>
      </c>
      <c r="F255" s="26" t="s">
        <v>436</v>
      </c>
      <c r="G255" s="26" t="s">
        <v>437</v>
      </c>
      <c r="H255" s="26">
        <v>21</v>
      </c>
      <c r="I255" s="49">
        <v>73</v>
      </c>
      <c r="J255" s="1">
        <f t="shared" si="3"/>
        <v>3066</v>
      </c>
      <c r="K255">
        <f>J255*Emission_factor!$C$48</f>
        <v>1817.5247999999999</v>
      </c>
    </row>
    <row r="256" spans="1:11" x14ac:dyDescent="0.25">
      <c r="A256" s="1">
        <v>255</v>
      </c>
      <c r="B256" s="1" t="s">
        <v>72</v>
      </c>
      <c r="C256" s="1" t="s">
        <v>412</v>
      </c>
      <c r="D256" s="1" t="s">
        <v>149</v>
      </c>
      <c r="E256" s="1">
        <v>2023</v>
      </c>
      <c r="F256" s="26" t="s">
        <v>436</v>
      </c>
      <c r="G256" s="26" t="s">
        <v>437</v>
      </c>
      <c r="H256" s="26">
        <v>1</v>
      </c>
      <c r="I256" s="49">
        <v>73</v>
      </c>
      <c r="J256" s="1">
        <f t="shared" si="3"/>
        <v>146</v>
      </c>
      <c r="K256">
        <f>J256*Emission_factor!$C$48</f>
        <v>86.5488</v>
      </c>
    </row>
    <row r="257" spans="1:11" x14ac:dyDescent="0.25">
      <c r="A257" s="1">
        <v>256</v>
      </c>
      <c r="B257" s="1" t="s">
        <v>72</v>
      </c>
      <c r="C257" s="1" t="s">
        <v>412</v>
      </c>
      <c r="D257" s="1" t="s">
        <v>149</v>
      </c>
      <c r="E257" s="1">
        <v>2023</v>
      </c>
      <c r="F257" s="26" t="s">
        <v>436</v>
      </c>
      <c r="G257" s="26" t="s">
        <v>437</v>
      </c>
      <c r="H257" s="26">
        <v>17</v>
      </c>
      <c r="I257" s="49">
        <v>73</v>
      </c>
      <c r="J257" s="1">
        <f t="shared" si="3"/>
        <v>2482</v>
      </c>
      <c r="K257">
        <f>J257*Emission_factor!$C$48</f>
        <v>1471.3296</v>
      </c>
    </row>
    <row r="258" spans="1:11" x14ac:dyDescent="0.25">
      <c r="A258" s="1">
        <v>257</v>
      </c>
      <c r="B258" s="1" t="s">
        <v>72</v>
      </c>
      <c r="C258" s="1" t="s">
        <v>412</v>
      </c>
      <c r="D258" s="1" t="s">
        <v>149</v>
      </c>
      <c r="E258" s="1">
        <v>2023</v>
      </c>
      <c r="F258" s="26" t="s">
        <v>428</v>
      </c>
      <c r="G258" s="26" t="s">
        <v>429</v>
      </c>
      <c r="H258" s="26">
        <v>1</v>
      </c>
      <c r="I258" s="49">
        <v>29.4</v>
      </c>
      <c r="J258" s="1">
        <f t="shared" si="3"/>
        <v>58.8</v>
      </c>
      <c r="K258">
        <f>J258*Emission_factor!$C$48</f>
        <v>34.856639999999999</v>
      </c>
    </row>
    <row r="259" spans="1:11" x14ac:dyDescent="0.25">
      <c r="A259" s="1">
        <v>258</v>
      </c>
      <c r="B259" s="1" t="s">
        <v>72</v>
      </c>
      <c r="C259" s="1" t="s">
        <v>412</v>
      </c>
      <c r="D259" s="1" t="s">
        <v>149</v>
      </c>
      <c r="E259" s="1">
        <v>2023</v>
      </c>
      <c r="F259" s="26" t="s">
        <v>438</v>
      </c>
      <c r="G259" s="26" t="s">
        <v>439</v>
      </c>
      <c r="H259" s="26">
        <v>2</v>
      </c>
      <c r="I259" s="49">
        <v>67.3</v>
      </c>
      <c r="J259" s="1">
        <f t="shared" ref="J259:J322" si="4">H259*I259*2</f>
        <v>269.2</v>
      </c>
      <c r="K259">
        <f>J259*Emission_factor!$C$48</f>
        <v>159.58176</v>
      </c>
    </row>
    <row r="260" spans="1:11" x14ac:dyDescent="0.25">
      <c r="A260" s="1">
        <v>259</v>
      </c>
      <c r="B260" s="1" t="s">
        <v>72</v>
      </c>
      <c r="C260" s="1" t="s">
        <v>412</v>
      </c>
      <c r="D260" s="1" t="s">
        <v>149</v>
      </c>
      <c r="E260" s="1">
        <v>2023</v>
      </c>
      <c r="F260" s="26" t="s">
        <v>438</v>
      </c>
      <c r="G260" s="26" t="s">
        <v>439</v>
      </c>
      <c r="H260" s="26">
        <v>1</v>
      </c>
      <c r="I260" s="49">
        <v>67.3</v>
      </c>
      <c r="J260" s="1">
        <f t="shared" si="4"/>
        <v>134.6</v>
      </c>
      <c r="K260">
        <f>J260*Emission_factor!$C$48</f>
        <v>79.790880000000001</v>
      </c>
    </row>
    <row r="261" spans="1:11" x14ac:dyDescent="0.25">
      <c r="A261" s="1">
        <v>260</v>
      </c>
      <c r="B261" s="1" t="s">
        <v>72</v>
      </c>
      <c r="C261" s="1" t="s">
        <v>412</v>
      </c>
      <c r="D261" s="1" t="s">
        <v>149</v>
      </c>
      <c r="E261" s="1">
        <v>2023</v>
      </c>
      <c r="F261" s="26" t="s">
        <v>438</v>
      </c>
      <c r="G261" s="26" t="s">
        <v>439</v>
      </c>
      <c r="H261" s="26">
        <v>67</v>
      </c>
      <c r="I261" s="49">
        <v>67.3</v>
      </c>
      <c r="J261" s="1">
        <f t="shared" si="4"/>
        <v>9018.1999999999989</v>
      </c>
      <c r="K261">
        <f>J261*Emission_factor!$C$48</f>
        <v>5345.9889599999997</v>
      </c>
    </row>
    <row r="262" spans="1:11" x14ac:dyDescent="0.25">
      <c r="A262" s="1">
        <v>261</v>
      </c>
      <c r="B262" s="1" t="s">
        <v>72</v>
      </c>
      <c r="C262" s="1" t="s">
        <v>412</v>
      </c>
      <c r="D262" s="1" t="s">
        <v>149</v>
      </c>
      <c r="E262" s="1">
        <v>2023</v>
      </c>
      <c r="F262" s="26" t="s">
        <v>446</v>
      </c>
      <c r="G262" s="26" t="s">
        <v>447</v>
      </c>
      <c r="H262" s="26">
        <v>8</v>
      </c>
      <c r="I262" s="49">
        <v>65.5</v>
      </c>
      <c r="J262" s="1">
        <f t="shared" si="4"/>
        <v>1048</v>
      </c>
      <c r="K262">
        <f>J262*Emission_factor!$C$48</f>
        <v>621.25440000000003</v>
      </c>
    </row>
    <row r="263" spans="1:11" x14ac:dyDescent="0.25">
      <c r="A263" s="1">
        <v>262</v>
      </c>
      <c r="B263" s="1" t="s">
        <v>72</v>
      </c>
      <c r="C263" s="1" t="s">
        <v>412</v>
      </c>
      <c r="D263" s="1" t="s">
        <v>149</v>
      </c>
      <c r="E263" s="1">
        <v>2023</v>
      </c>
      <c r="F263" s="26" t="s">
        <v>444</v>
      </c>
      <c r="G263" s="26" t="s">
        <v>445</v>
      </c>
      <c r="H263" s="26">
        <v>2</v>
      </c>
      <c r="I263" s="49">
        <v>81.3</v>
      </c>
      <c r="J263" s="1">
        <f t="shared" si="4"/>
        <v>325.2</v>
      </c>
      <c r="K263">
        <f>J263*Emission_factor!$C$48</f>
        <v>192.77856</v>
      </c>
    </row>
    <row r="264" spans="1:11" x14ac:dyDescent="0.25">
      <c r="A264" s="1">
        <v>263</v>
      </c>
      <c r="B264" s="1" t="s">
        <v>72</v>
      </c>
      <c r="C264" s="1" t="s">
        <v>412</v>
      </c>
      <c r="D264" s="1" t="s">
        <v>149</v>
      </c>
      <c r="E264" s="1">
        <v>2023</v>
      </c>
      <c r="F264" s="26" t="s">
        <v>444</v>
      </c>
      <c r="G264" s="26" t="s">
        <v>445</v>
      </c>
      <c r="H264" s="26">
        <v>4</v>
      </c>
      <c r="I264" s="49">
        <v>81.3</v>
      </c>
      <c r="J264" s="1">
        <f t="shared" si="4"/>
        <v>650.4</v>
      </c>
      <c r="K264">
        <f>J264*Emission_factor!$C$48</f>
        <v>385.55712</v>
      </c>
    </row>
    <row r="265" spans="1:11" x14ac:dyDescent="0.25">
      <c r="A265" s="1">
        <v>264</v>
      </c>
      <c r="B265" s="1" t="s">
        <v>72</v>
      </c>
      <c r="C265" s="1" t="s">
        <v>412</v>
      </c>
      <c r="D265" s="1" t="s">
        <v>149</v>
      </c>
      <c r="E265" s="1">
        <v>2023</v>
      </c>
      <c r="F265" s="26" t="s">
        <v>416</v>
      </c>
      <c r="G265" s="26" t="s">
        <v>421</v>
      </c>
      <c r="H265" s="26">
        <v>1</v>
      </c>
      <c r="I265" s="49">
        <v>51</v>
      </c>
      <c r="J265" s="1">
        <f t="shared" si="4"/>
        <v>102</v>
      </c>
      <c r="K265">
        <f>J265*Emission_factor!$C$48</f>
        <v>60.465600000000002</v>
      </c>
    </row>
    <row r="266" spans="1:11" x14ac:dyDescent="0.25">
      <c r="A266" s="1">
        <v>265</v>
      </c>
      <c r="B266" s="1" t="s">
        <v>72</v>
      </c>
      <c r="C266" s="1" t="s">
        <v>412</v>
      </c>
      <c r="D266" s="1" t="s">
        <v>149</v>
      </c>
      <c r="E266" s="1">
        <v>2023</v>
      </c>
      <c r="F266" s="26" t="s">
        <v>416</v>
      </c>
      <c r="G266" s="26" t="s">
        <v>421</v>
      </c>
      <c r="H266" s="26">
        <v>1</v>
      </c>
      <c r="I266" s="49">
        <v>51</v>
      </c>
      <c r="J266" s="1">
        <f t="shared" si="4"/>
        <v>102</v>
      </c>
      <c r="K266">
        <f>J266*Emission_factor!$C$48</f>
        <v>60.465600000000002</v>
      </c>
    </row>
    <row r="267" spans="1:11" x14ac:dyDescent="0.25">
      <c r="A267" s="1">
        <v>266</v>
      </c>
      <c r="B267" s="1" t="s">
        <v>72</v>
      </c>
      <c r="C267" s="1" t="s">
        <v>412</v>
      </c>
      <c r="D267" s="1" t="s">
        <v>149</v>
      </c>
      <c r="E267" s="1">
        <v>2023</v>
      </c>
      <c r="F267" s="26" t="s">
        <v>438</v>
      </c>
      <c r="G267" s="26" t="s">
        <v>439</v>
      </c>
      <c r="H267" s="26">
        <v>1</v>
      </c>
      <c r="I267" s="49">
        <v>67.3</v>
      </c>
      <c r="J267" s="1">
        <f t="shared" si="4"/>
        <v>134.6</v>
      </c>
      <c r="K267">
        <f>J267*Emission_factor!$C$48</f>
        <v>79.790880000000001</v>
      </c>
    </row>
    <row r="268" spans="1:11" x14ac:dyDescent="0.25">
      <c r="A268" s="1">
        <v>267</v>
      </c>
      <c r="B268" s="1" t="s">
        <v>72</v>
      </c>
      <c r="C268" s="1" t="s">
        <v>412</v>
      </c>
      <c r="D268" s="1" t="s">
        <v>149</v>
      </c>
      <c r="E268" s="1">
        <v>2023</v>
      </c>
      <c r="F268" s="26" t="s">
        <v>422</v>
      </c>
      <c r="G268" s="26" t="s">
        <v>423</v>
      </c>
      <c r="H268" s="26">
        <v>1</v>
      </c>
      <c r="I268" s="49">
        <v>47.1</v>
      </c>
      <c r="J268" s="1">
        <f t="shared" si="4"/>
        <v>94.2</v>
      </c>
      <c r="K268">
        <f>J268*Emission_factor!$C$48</f>
        <v>55.841760000000001</v>
      </c>
    </row>
    <row r="269" spans="1:11" x14ac:dyDescent="0.25">
      <c r="A269" s="1">
        <v>268</v>
      </c>
      <c r="B269" s="1" t="s">
        <v>72</v>
      </c>
      <c r="C269" s="1" t="s">
        <v>412</v>
      </c>
      <c r="D269" s="1" t="s">
        <v>149</v>
      </c>
      <c r="E269" s="1">
        <v>2023</v>
      </c>
      <c r="F269" s="26" t="s">
        <v>422</v>
      </c>
      <c r="G269" s="26" t="s">
        <v>423</v>
      </c>
      <c r="H269" s="26">
        <v>50</v>
      </c>
      <c r="I269" s="49">
        <v>47.1</v>
      </c>
      <c r="J269" s="1">
        <f t="shared" si="4"/>
        <v>4710</v>
      </c>
      <c r="K269">
        <f>J269*Emission_factor!$C$48</f>
        <v>2792.0880000000002</v>
      </c>
    </row>
    <row r="270" spans="1:11" x14ac:dyDescent="0.25">
      <c r="A270" s="1">
        <v>269</v>
      </c>
      <c r="B270" s="1" t="s">
        <v>72</v>
      </c>
      <c r="C270" s="1" t="s">
        <v>412</v>
      </c>
      <c r="D270" s="1" t="s">
        <v>149</v>
      </c>
      <c r="E270" s="1">
        <v>2023</v>
      </c>
      <c r="F270" s="26" t="s">
        <v>422</v>
      </c>
      <c r="G270" s="26" t="s">
        <v>423</v>
      </c>
      <c r="H270" s="26">
        <v>50</v>
      </c>
      <c r="I270" s="49">
        <v>47.1</v>
      </c>
      <c r="J270" s="1">
        <f t="shared" si="4"/>
        <v>4710</v>
      </c>
      <c r="K270">
        <f>J270*Emission_factor!$C$48</f>
        <v>2792.0880000000002</v>
      </c>
    </row>
    <row r="271" spans="1:11" x14ac:dyDescent="0.25">
      <c r="A271" s="1">
        <v>270</v>
      </c>
      <c r="B271" s="1" t="s">
        <v>72</v>
      </c>
      <c r="C271" s="1" t="s">
        <v>412</v>
      </c>
      <c r="D271" s="1" t="s">
        <v>149</v>
      </c>
      <c r="E271" s="1">
        <v>2023</v>
      </c>
      <c r="F271" s="26" t="s">
        <v>444</v>
      </c>
      <c r="G271" s="26" t="s">
        <v>445</v>
      </c>
      <c r="H271" s="26">
        <v>34</v>
      </c>
      <c r="I271" s="49">
        <v>81.3</v>
      </c>
      <c r="J271" s="1">
        <f t="shared" si="4"/>
        <v>5528.4</v>
      </c>
      <c r="K271">
        <f>J271*Emission_factor!$C$48</f>
        <v>3277.2355199999997</v>
      </c>
    </row>
    <row r="272" spans="1:11" x14ac:dyDescent="0.25">
      <c r="A272" s="1">
        <v>271</v>
      </c>
      <c r="B272" s="1" t="s">
        <v>72</v>
      </c>
      <c r="C272" s="1" t="s">
        <v>412</v>
      </c>
      <c r="D272" s="1" t="s">
        <v>149</v>
      </c>
      <c r="E272" s="1">
        <v>2023</v>
      </c>
      <c r="F272" s="26" t="s">
        <v>436</v>
      </c>
      <c r="G272" s="26" t="s">
        <v>437</v>
      </c>
      <c r="H272" s="26">
        <v>1</v>
      </c>
      <c r="I272" s="49">
        <v>73</v>
      </c>
      <c r="J272" s="1">
        <f t="shared" si="4"/>
        <v>146</v>
      </c>
      <c r="K272">
        <f>J272*Emission_factor!$C$48</f>
        <v>86.5488</v>
      </c>
    </row>
    <row r="273" spans="1:11" x14ac:dyDescent="0.25">
      <c r="A273" s="1">
        <v>272</v>
      </c>
      <c r="B273" s="1" t="s">
        <v>72</v>
      </c>
      <c r="C273" s="1" t="s">
        <v>412</v>
      </c>
      <c r="D273" s="1" t="s">
        <v>149</v>
      </c>
      <c r="E273" s="1">
        <v>2023</v>
      </c>
      <c r="F273" s="26" t="s">
        <v>422</v>
      </c>
      <c r="G273" s="26" t="s">
        <v>423</v>
      </c>
      <c r="H273" s="26">
        <v>27</v>
      </c>
      <c r="I273" s="49">
        <v>47.1</v>
      </c>
      <c r="J273" s="1">
        <f t="shared" si="4"/>
        <v>2543.4</v>
      </c>
      <c r="K273">
        <f>J273*Emission_factor!$C$48</f>
        <v>1507.7275200000001</v>
      </c>
    </row>
    <row r="274" spans="1:11" x14ac:dyDescent="0.25">
      <c r="A274" s="1">
        <v>273</v>
      </c>
      <c r="B274" s="1" t="s">
        <v>72</v>
      </c>
      <c r="C274" s="1" t="s">
        <v>412</v>
      </c>
      <c r="D274" s="1" t="s">
        <v>149</v>
      </c>
      <c r="E274" s="1">
        <v>2023</v>
      </c>
      <c r="F274" s="26" t="s">
        <v>444</v>
      </c>
      <c r="G274" s="26" t="s">
        <v>445</v>
      </c>
      <c r="H274" s="26">
        <v>1</v>
      </c>
      <c r="I274" s="49">
        <v>81.3</v>
      </c>
      <c r="J274" s="1">
        <f t="shared" si="4"/>
        <v>162.6</v>
      </c>
      <c r="K274">
        <f>J274*Emission_factor!$C$48</f>
        <v>96.389279999999999</v>
      </c>
    </row>
    <row r="275" spans="1:11" x14ac:dyDescent="0.25">
      <c r="A275" s="1">
        <v>274</v>
      </c>
      <c r="B275" s="1" t="s">
        <v>72</v>
      </c>
      <c r="C275" s="1" t="s">
        <v>412</v>
      </c>
      <c r="D275" s="1" t="s">
        <v>149</v>
      </c>
      <c r="E275" s="1">
        <v>2023</v>
      </c>
      <c r="F275" s="26" t="s">
        <v>416</v>
      </c>
      <c r="G275" s="26" t="s">
        <v>421</v>
      </c>
      <c r="H275" s="26">
        <v>50</v>
      </c>
      <c r="I275" s="49">
        <v>51</v>
      </c>
      <c r="J275" s="1">
        <f t="shared" si="4"/>
        <v>5100</v>
      </c>
      <c r="K275">
        <f>J275*Emission_factor!$C$48</f>
        <v>3023.2799999999997</v>
      </c>
    </row>
    <row r="276" spans="1:11" x14ac:dyDescent="0.25">
      <c r="A276" s="1">
        <v>275</v>
      </c>
      <c r="B276" s="1" t="s">
        <v>72</v>
      </c>
      <c r="C276" s="1" t="s">
        <v>412</v>
      </c>
      <c r="D276" s="1" t="s">
        <v>149</v>
      </c>
      <c r="E276" s="1">
        <v>2023</v>
      </c>
      <c r="F276" s="26" t="s">
        <v>426</v>
      </c>
      <c r="G276" s="26" t="s">
        <v>427</v>
      </c>
      <c r="H276" s="26">
        <v>58</v>
      </c>
      <c r="I276" s="49">
        <v>168</v>
      </c>
      <c r="J276" s="1">
        <f t="shared" si="4"/>
        <v>19488</v>
      </c>
      <c r="K276">
        <f>J276*Emission_factor!$C$48</f>
        <v>11552.4864</v>
      </c>
    </row>
    <row r="277" spans="1:11" x14ac:dyDescent="0.25">
      <c r="A277" s="1">
        <v>276</v>
      </c>
      <c r="B277" s="1" t="s">
        <v>72</v>
      </c>
      <c r="C277" s="1" t="s">
        <v>412</v>
      </c>
      <c r="D277" s="1" t="s">
        <v>149</v>
      </c>
      <c r="E277" s="1">
        <v>2023</v>
      </c>
      <c r="F277" s="26" t="s">
        <v>416</v>
      </c>
      <c r="G277" s="26" t="s">
        <v>421</v>
      </c>
      <c r="H277" s="26">
        <v>1</v>
      </c>
      <c r="I277" s="49">
        <v>51</v>
      </c>
      <c r="J277" s="1">
        <f t="shared" si="4"/>
        <v>102</v>
      </c>
      <c r="K277">
        <f>J277*Emission_factor!$C$48</f>
        <v>60.465600000000002</v>
      </c>
    </row>
    <row r="278" spans="1:11" x14ac:dyDescent="0.25">
      <c r="A278" s="1">
        <v>277</v>
      </c>
      <c r="B278" s="1" t="s">
        <v>72</v>
      </c>
      <c r="C278" s="1" t="s">
        <v>412</v>
      </c>
      <c r="D278" s="1" t="s">
        <v>149</v>
      </c>
      <c r="E278" s="1">
        <v>2023</v>
      </c>
      <c r="F278" s="26" t="s">
        <v>416</v>
      </c>
      <c r="G278" s="26" t="s">
        <v>421</v>
      </c>
      <c r="H278" s="26">
        <v>83</v>
      </c>
      <c r="I278" s="49">
        <v>51</v>
      </c>
      <c r="J278" s="1">
        <f t="shared" si="4"/>
        <v>8466</v>
      </c>
      <c r="K278">
        <f>J278*Emission_factor!$C$48</f>
        <v>5018.6448</v>
      </c>
    </row>
    <row r="279" spans="1:11" x14ac:dyDescent="0.25">
      <c r="A279" s="1">
        <v>278</v>
      </c>
      <c r="B279" s="1" t="s">
        <v>72</v>
      </c>
      <c r="C279" s="1" t="s">
        <v>412</v>
      </c>
      <c r="D279" s="1" t="s">
        <v>149</v>
      </c>
      <c r="E279" s="1">
        <v>2023</v>
      </c>
      <c r="F279" s="26" t="s">
        <v>426</v>
      </c>
      <c r="G279" s="26" t="s">
        <v>427</v>
      </c>
      <c r="H279" s="26">
        <v>1</v>
      </c>
      <c r="I279" s="49">
        <v>168</v>
      </c>
      <c r="J279" s="1">
        <f t="shared" si="4"/>
        <v>336</v>
      </c>
      <c r="K279">
        <f>J279*Emission_factor!$C$48</f>
        <v>199.1808</v>
      </c>
    </row>
    <row r="280" spans="1:11" x14ac:dyDescent="0.25">
      <c r="A280" s="1">
        <v>279</v>
      </c>
      <c r="B280" s="1" t="s">
        <v>72</v>
      </c>
      <c r="C280" s="1" t="s">
        <v>412</v>
      </c>
      <c r="D280" s="1" t="s">
        <v>149</v>
      </c>
      <c r="E280" s="1">
        <v>2023</v>
      </c>
      <c r="F280" s="26" t="s">
        <v>416</v>
      </c>
      <c r="G280" s="26" t="s">
        <v>421</v>
      </c>
      <c r="H280" s="26">
        <v>3</v>
      </c>
      <c r="I280" s="49">
        <v>51</v>
      </c>
      <c r="J280" s="1">
        <f t="shared" si="4"/>
        <v>306</v>
      </c>
      <c r="K280">
        <f>J280*Emission_factor!$C$48</f>
        <v>181.39679999999998</v>
      </c>
    </row>
    <row r="281" spans="1:11" x14ac:dyDescent="0.25">
      <c r="A281" s="1">
        <v>280</v>
      </c>
      <c r="B281" s="1" t="s">
        <v>72</v>
      </c>
      <c r="C281" s="1" t="s">
        <v>412</v>
      </c>
      <c r="D281" s="1" t="s">
        <v>149</v>
      </c>
      <c r="E281" s="1">
        <v>2023</v>
      </c>
      <c r="F281" s="26" t="s">
        <v>426</v>
      </c>
      <c r="G281" s="26" t="s">
        <v>427</v>
      </c>
      <c r="H281" s="26">
        <v>42</v>
      </c>
      <c r="I281" s="49">
        <v>168</v>
      </c>
      <c r="J281" s="1">
        <f t="shared" si="4"/>
        <v>14112</v>
      </c>
      <c r="K281">
        <f>J281*Emission_factor!$C$48</f>
        <v>8365.5936000000002</v>
      </c>
    </row>
    <row r="282" spans="1:11" x14ac:dyDescent="0.25">
      <c r="A282" s="1">
        <v>281</v>
      </c>
      <c r="B282" s="1" t="s">
        <v>72</v>
      </c>
      <c r="C282" s="1" t="s">
        <v>412</v>
      </c>
      <c r="D282" s="1" t="s">
        <v>149</v>
      </c>
      <c r="E282" s="1">
        <v>2023</v>
      </c>
      <c r="F282" s="26" t="s">
        <v>422</v>
      </c>
      <c r="G282" s="26" t="s">
        <v>423</v>
      </c>
      <c r="H282" s="26">
        <v>41</v>
      </c>
      <c r="I282" s="49">
        <v>47.1</v>
      </c>
      <c r="J282" s="1">
        <f t="shared" si="4"/>
        <v>3862.2000000000003</v>
      </c>
      <c r="K282">
        <f>J282*Emission_factor!$C$48</f>
        <v>2289.5121600000002</v>
      </c>
    </row>
    <row r="283" spans="1:11" x14ac:dyDescent="0.25">
      <c r="A283" s="1">
        <v>282</v>
      </c>
      <c r="B283" s="1" t="s">
        <v>72</v>
      </c>
      <c r="C283" s="1" t="s">
        <v>412</v>
      </c>
      <c r="D283" s="1" t="s">
        <v>149</v>
      </c>
      <c r="E283" s="1">
        <v>2023</v>
      </c>
      <c r="F283" s="26" t="s">
        <v>422</v>
      </c>
      <c r="G283" s="26" t="s">
        <v>423</v>
      </c>
      <c r="H283" s="26">
        <v>81</v>
      </c>
      <c r="I283" s="49">
        <v>47.1</v>
      </c>
      <c r="J283" s="1">
        <f t="shared" si="4"/>
        <v>7630.2</v>
      </c>
      <c r="K283">
        <f>J283*Emission_factor!$C$48</f>
        <v>4523.1825600000002</v>
      </c>
    </row>
    <row r="284" spans="1:11" x14ac:dyDescent="0.25">
      <c r="A284" s="1">
        <v>283</v>
      </c>
      <c r="B284" s="1" t="s">
        <v>72</v>
      </c>
      <c r="C284" s="1" t="s">
        <v>412</v>
      </c>
      <c r="D284" s="1" t="s">
        <v>149</v>
      </c>
      <c r="E284" s="1">
        <v>2023</v>
      </c>
      <c r="F284" s="26" t="s">
        <v>433</v>
      </c>
      <c r="G284" s="26" t="s">
        <v>434</v>
      </c>
      <c r="H284" s="26">
        <v>8</v>
      </c>
      <c r="I284" s="49">
        <v>32.200000000000003</v>
      </c>
      <c r="J284" s="1">
        <f t="shared" si="4"/>
        <v>515.20000000000005</v>
      </c>
      <c r="K284">
        <f>J284*Emission_factor!$C$48</f>
        <v>305.41056000000003</v>
      </c>
    </row>
    <row r="285" spans="1:11" x14ac:dyDescent="0.25">
      <c r="A285" s="1">
        <v>284</v>
      </c>
      <c r="B285" s="1" t="s">
        <v>72</v>
      </c>
      <c r="C285" s="1" t="s">
        <v>412</v>
      </c>
      <c r="D285" s="1" t="s">
        <v>149</v>
      </c>
      <c r="E285" s="1">
        <v>2023</v>
      </c>
      <c r="F285" s="26" t="s">
        <v>422</v>
      </c>
      <c r="G285" s="26" t="s">
        <v>423</v>
      </c>
      <c r="H285" s="26">
        <v>3</v>
      </c>
      <c r="I285" s="49">
        <v>47.1</v>
      </c>
      <c r="J285" s="1">
        <f t="shared" si="4"/>
        <v>282.60000000000002</v>
      </c>
      <c r="K285">
        <f>J285*Emission_factor!$C$48</f>
        <v>167.52528000000001</v>
      </c>
    </row>
    <row r="286" spans="1:11" x14ac:dyDescent="0.25">
      <c r="A286" s="1">
        <v>285</v>
      </c>
      <c r="B286" s="1" t="s">
        <v>72</v>
      </c>
      <c r="C286" s="1" t="s">
        <v>412</v>
      </c>
      <c r="D286" s="1" t="s">
        <v>149</v>
      </c>
      <c r="E286" s="1">
        <v>2023</v>
      </c>
      <c r="F286" s="26" t="s">
        <v>416</v>
      </c>
      <c r="G286" s="26" t="s">
        <v>421</v>
      </c>
      <c r="H286" s="26">
        <v>225</v>
      </c>
      <c r="I286" s="49">
        <v>51</v>
      </c>
      <c r="J286" s="1">
        <f t="shared" si="4"/>
        <v>22950</v>
      </c>
      <c r="K286">
        <f>J286*Emission_factor!$C$48</f>
        <v>13604.76</v>
      </c>
    </row>
    <row r="287" spans="1:11" x14ac:dyDescent="0.25">
      <c r="A287" s="1">
        <v>286</v>
      </c>
      <c r="B287" s="1" t="s">
        <v>72</v>
      </c>
      <c r="C287" s="1" t="s">
        <v>412</v>
      </c>
      <c r="D287" s="1" t="s">
        <v>149</v>
      </c>
      <c r="E287" s="1">
        <v>2023</v>
      </c>
      <c r="F287" s="26" t="s">
        <v>422</v>
      </c>
      <c r="G287" s="26" t="s">
        <v>423</v>
      </c>
      <c r="H287" s="26">
        <v>1</v>
      </c>
      <c r="I287" s="49">
        <v>47.1</v>
      </c>
      <c r="J287" s="1">
        <f t="shared" si="4"/>
        <v>94.2</v>
      </c>
      <c r="K287">
        <f>J287*Emission_factor!$C$48</f>
        <v>55.841760000000001</v>
      </c>
    </row>
    <row r="288" spans="1:11" x14ac:dyDescent="0.25">
      <c r="A288" s="1">
        <v>287</v>
      </c>
      <c r="B288" s="1" t="s">
        <v>72</v>
      </c>
      <c r="C288" s="1" t="s">
        <v>412</v>
      </c>
      <c r="D288" s="1" t="s">
        <v>149</v>
      </c>
      <c r="E288" s="1">
        <v>2023</v>
      </c>
      <c r="F288" s="26" t="s">
        <v>416</v>
      </c>
      <c r="G288" s="26" t="s">
        <v>421</v>
      </c>
      <c r="H288" s="26">
        <v>8</v>
      </c>
      <c r="I288" s="49">
        <v>51</v>
      </c>
      <c r="J288" s="1">
        <f t="shared" si="4"/>
        <v>816</v>
      </c>
      <c r="K288">
        <f>J288*Emission_factor!$C$48</f>
        <v>483.72480000000002</v>
      </c>
    </row>
    <row r="289" spans="1:11" x14ac:dyDescent="0.25">
      <c r="A289" s="1">
        <v>288</v>
      </c>
      <c r="B289" s="1" t="s">
        <v>72</v>
      </c>
      <c r="C289" s="1" t="s">
        <v>412</v>
      </c>
      <c r="D289" s="1" t="s">
        <v>149</v>
      </c>
      <c r="E289" s="1">
        <v>2023</v>
      </c>
      <c r="F289" s="26" t="s">
        <v>416</v>
      </c>
      <c r="G289" s="26" t="s">
        <v>421</v>
      </c>
      <c r="H289" s="26">
        <v>193</v>
      </c>
      <c r="I289" s="49">
        <v>51</v>
      </c>
      <c r="J289" s="1">
        <f t="shared" si="4"/>
        <v>19686</v>
      </c>
      <c r="K289">
        <f>J289*Emission_factor!$C$48</f>
        <v>11669.8608</v>
      </c>
    </row>
    <row r="290" spans="1:11" x14ac:dyDescent="0.25">
      <c r="A290" s="1">
        <v>289</v>
      </c>
      <c r="B290" s="1" t="s">
        <v>72</v>
      </c>
      <c r="C290" s="1" t="s">
        <v>412</v>
      </c>
      <c r="D290" s="1" t="s">
        <v>151</v>
      </c>
      <c r="E290" s="1">
        <v>2023</v>
      </c>
      <c r="F290" s="37" t="s">
        <v>436</v>
      </c>
      <c r="G290" s="37" t="s">
        <v>437</v>
      </c>
      <c r="H290" s="34">
        <v>17</v>
      </c>
      <c r="I290" s="50">
        <v>73</v>
      </c>
      <c r="J290" s="1">
        <f t="shared" si="4"/>
        <v>2482</v>
      </c>
      <c r="K290">
        <f>J290*Emission_factor!$C$48</f>
        <v>1471.3296</v>
      </c>
    </row>
    <row r="291" spans="1:11" x14ac:dyDescent="0.25">
      <c r="A291" s="1">
        <v>290</v>
      </c>
      <c r="B291" s="1" t="s">
        <v>72</v>
      </c>
      <c r="C291" s="1" t="s">
        <v>412</v>
      </c>
      <c r="D291" s="1" t="s">
        <v>151</v>
      </c>
      <c r="E291" s="1">
        <v>2023</v>
      </c>
      <c r="F291" s="37" t="s">
        <v>436</v>
      </c>
      <c r="G291" s="37" t="s">
        <v>437</v>
      </c>
      <c r="H291" s="34">
        <v>42</v>
      </c>
      <c r="I291" s="50">
        <v>73</v>
      </c>
      <c r="J291" s="1">
        <f t="shared" si="4"/>
        <v>6132</v>
      </c>
      <c r="K291">
        <f>J291*Emission_factor!$C$48</f>
        <v>3635.0495999999998</v>
      </c>
    </row>
    <row r="292" spans="1:11" x14ac:dyDescent="0.25">
      <c r="A292" s="1">
        <v>291</v>
      </c>
      <c r="B292" s="1" t="s">
        <v>72</v>
      </c>
      <c r="C292" s="1" t="s">
        <v>412</v>
      </c>
      <c r="D292" s="1" t="s">
        <v>151</v>
      </c>
      <c r="E292" s="1">
        <v>2023</v>
      </c>
      <c r="F292" s="37" t="s">
        <v>424</v>
      </c>
      <c r="G292" s="37" t="s">
        <v>425</v>
      </c>
      <c r="H292" s="34">
        <v>33</v>
      </c>
      <c r="I292" s="50">
        <v>116</v>
      </c>
      <c r="J292" s="1">
        <f t="shared" si="4"/>
        <v>7656</v>
      </c>
      <c r="K292">
        <f>J292*Emission_factor!$C$48</f>
        <v>4538.4768000000004</v>
      </c>
    </row>
    <row r="293" spans="1:11" x14ac:dyDescent="0.25">
      <c r="A293" s="1">
        <v>292</v>
      </c>
      <c r="B293" s="1" t="s">
        <v>72</v>
      </c>
      <c r="C293" s="1" t="s">
        <v>412</v>
      </c>
      <c r="D293" s="1" t="s">
        <v>151</v>
      </c>
      <c r="E293" s="1">
        <v>2023</v>
      </c>
      <c r="F293" s="37" t="s">
        <v>424</v>
      </c>
      <c r="G293" s="37" t="s">
        <v>425</v>
      </c>
      <c r="H293" s="34">
        <v>33</v>
      </c>
      <c r="I293" s="50">
        <v>116</v>
      </c>
      <c r="J293" s="1">
        <f t="shared" si="4"/>
        <v>7656</v>
      </c>
      <c r="K293">
        <f>J293*Emission_factor!$C$48</f>
        <v>4538.4768000000004</v>
      </c>
    </row>
    <row r="294" spans="1:11" x14ac:dyDescent="0.25">
      <c r="A294" s="1">
        <v>293</v>
      </c>
      <c r="B294" s="1" t="s">
        <v>72</v>
      </c>
      <c r="C294" s="1" t="s">
        <v>412</v>
      </c>
      <c r="D294" s="1" t="s">
        <v>151</v>
      </c>
      <c r="E294" s="1">
        <v>2023</v>
      </c>
      <c r="F294" s="37" t="s">
        <v>426</v>
      </c>
      <c r="G294" s="37" t="s">
        <v>427</v>
      </c>
      <c r="H294" s="34">
        <v>14</v>
      </c>
      <c r="I294" s="50">
        <v>168</v>
      </c>
      <c r="J294" s="1">
        <f t="shared" si="4"/>
        <v>4704</v>
      </c>
      <c r="K294">
        <f>J294*Emission_factor!$C$48</f>
        <v>2788.5311999999999</v>
      </c>
    </row>
    <row r="295" spans="1:11" x14ac:dyDescent="0.25">
      <c r="A295" s="1">
        <v>294</v>
      </c>
      <c r="B295" s="1" t="s">
        <v>72</v>
      </c>
      <c r="C295" s="1" t="s">
        <v>412</v>
      </c>
      <c r="D295" s="1" t="s">
        <v>151</v>
      </c>
      <c r="E295" s="1">
        <v>2023</v>
      </c>
      <c r="F295" s="37" t="s">
        <v>426</v>
      </c>
      <c r="G295" s="37" t="s">
        <v>427</v>
      </c>
      <c r="H295" s="34">
        <v>19</v>
      </c>
      <c r="I295" s="50">
        <v>168</v>
      </c>
      <c r="J295" s="1">
        <f t="shared" si="4"/>
        <v>6384</v>
      </c>
      <c r="K295">
        <f>J295*Emission_factor!$C$48</f>
        <v>3784.4351999999999</v>
      </c>
    </row>
    <row r="296" spans="1:11" x14ac:dyDescent="0.25">
      <c r="A296" s="1">
        <v>295</v>
      </c>
      <c r="B296" s="1" t="s">
        <v>72</v>
      </c>
      <c r="C296" s="1" t="s">
        <v>412</v>
      </c>
      <c r="D296" s="1" t="s">
        <v>151</v>
      </c>
      <c r="E296" s="1">
        <v>2023</v>
      </c>
      <c r="F296" s="37" t="s">
        <v>426</v>
      </c>
      <c r="G296" s="37" t="s">
        <v>427</v>
      </c>
      <c r="H296" s="34">
        <v>25</v>
      </c>
      <c r="I296" s="50">
        <v>168</v>
      </c>
      <c r="J296" s="1">
        <f t="shared" si="4"/>
        <v>8400</v>
      </c>
      <c r="K296">
        <f>J296*Emission_factor!$C$48</f>
        <v>4979.5199999999995</v>
      </c>
    </row>
    <row r="297" spans="1:11" x14ac:dyDescent="0.25">
      <c r="A297" s="1">
        <v>296</v>
      </c>
      <c r="B297" s="1" t="s">
        <v>72</v>
      </c>
      <c r="C297" s="1" t="s">
        <v>412</v>
      </c>
      <c r="D297" s="1" t="s">
        <v>151</v>
      </c>
      <c r="E297" s="1">
        <v>2023</v>
      </c>
      <c r="F297" s="37" t="s">
        <v>422</v>
      </c>
      <c r="G297" s="37" t="s">
        <v>423</v>
      </c>
      <c r="H297" s="34">
        <v>50</v>
      </c>
      <c r="I297" s="50">
        <v>47.1</v>
      </c>
      <c r="J297" s="1">
        <f t="shared" si="4"/>
        <v>4710</v>
      </c>
      <c r="K297">
        <f>J297*Emission_factor!$C$48</f>
        <v>2792.0880000000002</v>
      </c>
    </row>
    <row r="298" spans="1:11" x14ac:dyDescent="0.25">
      <c r="A298" s="1">
        <v>297</v>
      </c>
      <c r="B298" s="1" t="s">
        <v>72</v>
      </c>
      <c r="C298" s="1" t="s">
        <v>412</v>
      </c>
      <c r="D298" s="1" t="s">
        <v>151</v>
      </c>
      <c r="E298" s="1">
        <v>2023</v>
      </c>
      <c r="F298" s="37" t="s">
        <v>413</v>
      </c>
      <c r="G298" s="37" t="s">
        <v>417</v>
      </c>
      <c r="H298" s="34">
        <v>30</v>
      </c>
      <c r="I298" s="50">
        <v>28.1</v>
      </c>
      <c r="J298" s="1">
        <f t="shared" si="4"/>
        <v>1686</v>
      </c>
      <c r="K298">
        <f>J298*Emission_factor!$C$48</f>
        <v>999.46079999999995</v>
      </c>
    </row>
    <row r="299" spans="1:11" x14ac:dyDescent="0.25">
      <c r="A299" s="1">
        <v>298</v>
      </c>
      <c r="B299" s="1" t="s">
        <v>72</v>
      </c>
      <c r="C299" s="1" t="s">
        <v>412</v>
      </c>
      <c r="D299" s="1" t="s">
        <v>151</v>
      </c>
      <c r="E299" s="1">
        <v>2023</v>
      </c>
      <c r="F299" s="37" t="s">
        <v>426</v>
      </c>
      <c r="G299" s="37" t="s">
        <v>427</v>
      </c>
      <c r="H299" s="34">
        <v>1</v>
      </c>
      <c r="I299" s="50">
        <v>168</v>
      </c>
      <c r="J299" s="1">
        <f t="shared" si="4"/>
        <v>336</v>
      </c>
      <c r="K299">
        <f>J299*Emission_factor!$C$48</f>
        <v>199.1808</v>
      </c>
    </row>
    <row r="300" spans="1:11" x14ac:dyDescent="0.25">
      <c r="A300" s="1">
        <v>299</v>
      </c>
      <c r="B300" s="1" t="s">
        <v>72</v>
      </c>
      <c r="C300" s="1" t="s">
        <v>412</v>
      </c>
      <c r="D300" s="1" t="s">
        <v>151</v>
      </c>
      <c r="E300" s="1">
        <v>2023</v>
      </c>
      <c r="F300" s="37" t="s">
        <v>426</v>
      </c>
      <c r="G300" s="37" t="s">
        <v>427</v>
      </c>
      <c r="H300" s="34">
        <v>48</v>
      </c>
      <c r="I300" s="50">
        <v>168</v>
      </c>
      <c r="J300" s="1">
        <f t="shared" si="4"/>
        <v>16128</v>
      </c>
      <c r="K300">
        <f>J300*Emission_factor!$C$48</f>
        <v>9560.6784000000007</v>
      </c>
    </row>
    <row r="301" spans="1:11" x14ac:dyDescent="0.25">
      <c r="A301" s="1">
        <v>300</v>
      </c>
      <c r="B301" s="1" t="s">
        <v>72</v>
      </c>
      <c r="C301" s="1" t="s">
        <v>412</v>
      </c>
      <c r="D301" s="1" t="s">
        <v>151</v>
      </c>
      <c r="E301" s="1">
        <v>2023</v>
      </c>
      <c r="F301" s="37" t="s">
        <v>446</v>
      </c>
      <c r="G301" s="37" t="s">
        <v>447</v>
      </c>
      <c r="H301" s="34">
        <v>8</v>
      </c>
      <c r="I301" s="50">
        <v>65.5</v>
      </c>
      <c r="J301" s="1">
        <f t="shared" si="4"/>
        <v>1048</v>
      </c>
      <c r="K301">
        <f>J301*Emission_factor!$C$48</f>
        <v>621.25440000000003</v>
      </c>
    </row>
    <row r="302" spans="1:11" x14ac:dyDescent="0.25">
      <c r="A302" s="1">
        <v>301</v>
      </c>
      <c r="B302" s="1" t="s">
        <v>72</v>
      </c>
      <c r="C302" s="1" t="s">
        <v>412</v>
      </c>
      <c r="D302" s="1" t="s">
        <v>151</v>
      </c>
      <c r="E302" s="1">
        <v>2023</v>
      </c>
      <c r="F302" s="37" t="s">
        <v>413</v>
      </c>
      <c r="G302" s="37" t="s">
        <v>417</v>
      </c>
      <c r="H302" s="34">
        <v>6</v>
      </c>
      <c r="I302" s="50">
        <v>28.1</v>
      </c>
      <c r="J302" s="1">
        <f t="shared" si="4"/>
        <v>337.20000000000005</v>
      </c>
      <c r="K302">
        <f>J302*Emission_factor!$C$48</f>
        <v>199.89216000000002</v>
      </c>
    </row>
    <row r="303" spans="1:11" x14ac:dyDescent="0.25">
      <c r="A303" s="1">
        <v>302</v>
      </c>
      <c r="B303" s="1" t="s">
        <v>72</v>
      </c>
      <c r="C303" s="1" t="s">
        <v>412</v>
      </c>
      <c r="D303" s="1" t="s">
        <v>151</v>
      </c>
      <c r="E303" s="1">
        <v>2023</v>
      </c>
      <c r="F303" s="37" t="s">
        <v>413</v>
      </c>
      <c r="G303" s="37" t="s">
        <v>417</v>
      </c>
      <c r="H303" s="34">
        <v>89</v>
      </c>
      <c r="I303" s="50">
        <v>28.1</v>
      </c>
      <c r="J303" s="1">
        <f t="shared" si="4"/>
        <v>5001.8</v>
      </c>
      <c r="K303">
        <f>J303*Emission_factor!$C$48</f>
        <v>2965.0670399999999</v>
      </c>
    </row>
    <row r="304" spans="1:11" x14ac:dyDescent="0.25">
      <c r="A304" s="1">
        <v>303</v>
      </c>
      <c r="B304" s="1" t="s">
        <v>72</v>
      </c>
      <c r="C304" s="1" t="s">
        <v>412</v>
      </c>
      <c r="D304" s="1" t="s">
        <v>151</v>
      </c>
      <c r="E304" s="1">
        <v>2023</v>
      </c>
      <c r="F304" s="37" t="s">
        <v>446</v>
      </c>
      <c r="G304" s="37" t="s">
        <v>447</v>
      </c>
      <c r="H304" s="34">
        <v>8</v>
      </c>
      <c r="I304" s="50">
        <v>65.5</v>
      </c>
      <c r="J304" s="1">
        <f t="shared" si="4"/>
        <v>1048</v>
      </c>
      <c r="K304">
        <f>J304*Emission_factor!$C$48</f>
        <v>621.25440000000003</v>
      </c>
    </row>
    <row r="305" spans="1:11" x14ac:dyDescent="0.25">
      <c r="A305" s="1">
        <v>304</v>
      </c>
      <c r="B305" s="1" t="s">
        <v>72</v>
      </c>
      <c r="C305" s="1" t="s">
        <v>412</v>
      </c>
      <c r="D305" s="1" t="s">
        <v>151</v>
      </c>
      <c r="E305" s="1">
        <v>2023</v>
      </c>
      <c r="F305" s="37" t="s">
        <v>413</v>
      </c>
      <c r="G305" s="37" t="s">
        <v>417</v>
      </c>
      <c r="H305" s="34">
        <v>1</v>
      </c>
      <c r="I305" s="50">
        <v>28.1</v>
      </c>
      <c r="J305" s="1">
        <f t="shared" si="4"/>
        <v>56.2</v>
      </c>
      <c r="K305">
        <f>J305*Emission_factor!$C$48</f>
        <v>33.315359999999998</v>
      </c>
    </row>
    <row r="306" spans="1:11" x14ac:dyDescent="0.25">
      <c r="A306" s="1">
        <v>305</v>
      </c>
      <c r="B306" s="1" t="s">
        <v>72</v>
      </c>
      <c r="C306" s="1" t="s">
        <v>412</v>
      </c>
      <c r="D306" s="1" t="s">
        <v>151</v>
      </c>
      <c r="E306" s="1">
        <v>2023</v>
      </c>
      <c r="F306" s="37" t="s">
        <v>424</v>
      </c>
      <c r="G306" s="37" t="s">
        <v>425</v>
      </c>
      <c r="H306" s="34">
        <v>33</v>
      </c>
      <c r="I306" s="50">
        <v>116</v>
      </c>
      <c r="J306" s="1">
        <f t="shared" si="4"/>
        <v>7656</v>
      </c>
      <c r="K306">
        <f>J306*Emission_factor!$C$48</f>
        <v>4538.4768000000004</v>
      </c>
    </row>
    <row r="307" spans="1:11" x14ac:dyDescent="0.25">
      <c r="A307" s="1">
        <v>306</v>
      </c>
      <c r="B307" s="1" t="s">
        <v>72</v>
      </c>
      <c r="C307" s="1" t="s">
        <v>412</v>
      </c>
      <c r="D307" s="1" t="s">
        <v>151</v>
      </c>
      <c r="E307" s="1">
        <v>2023</v>
      </c>
      <c r="F307" s="37" t="s">
        <v>424</v>
      </c>
      <c r="G307" s="37" t="s">
        <v>425</v>
      </c>
      <c r="H307" s="34">
        <v>1</v>
      </c>
      <c r="I307" s="50">
        <v>116</v>
      </c>
      <c r="J307" s="1">
        <f t="shared" si="4"/>
        <v>232</v>
      </c>
      <c r="K307">
        <f>J307*Emission_factor!$C$48</f>
        <v>137.52959999999999</v>
      </c>
    </row>
    <row r="308" spans="1:11" x14ac:dyDescent="0.25">
      <c r="A308" s="1">
        <v>307</v>
      </c>
      <c r="B308" s="1" t="s">
        <v>72</v>
      </c>
      <c r="C308" s="1" t="s">
        <v>412</v>
      </c>
      <c r="D308" s="1" t="s">
        <v>151</v>
      </c>
      <c r="E308" s="1">
        <v>2023</v>
      </c>
      <c r="F308" s="37" t="s">
        <v>424</v>
      </c>
      <c r="G308" s="37" t="s">
        <v>425</v>
      </c>
      <c r="H308" s="34">
        <v>1</v>
      </c>
      <c r="I308" s="50">
        <v>116</v>
      </c>
      <c r="J308" s="1">
        <f t="shared" si="4"/>
        <v>232</v>
      </c>
      <c r="K308">
        <f>J308*Emission_factor!$C$48</f>
        <v>137.52959999999999</v>
      </c>
    </row>
    <row r="309" spans="1:11" x14ac:dyDescent="0.25">
      <c r="A309" s="1">
        <v>308</v>
      </c>
      <c r="B309" s="1" t="s">
        <v>72</v>
      </c>
      <c r="C309" s="1" t="s">
        <v>412</v>
      </c>
      <c r="D309" s="1" t="s">
        <v>151</v>
      </c>
      <c r="E309" s="1">
        <v>2023</v>
      </c>
      <c r="F309" s="37" t="s">
        <v>438</v>
      </c>
      <c r="G309" s="37" t="s">
        <v>439</v>
      </c>
      <c r="H309" s="34">
        <v>59</v>
      </c>
      <c r="I309" s="50">
        <v>67.3</v>
      </c>
      <c r="J309" s="1">
        <f t="shared" si="4"/>
        <v>7941.4</v>
      </c>
      <c r="K309">
        <f>J309*Emission_factor!$C$48</f>
        <v>4707.6619199999996</v>
      </c>
    </row>
    <row r="310" spans="1:11" x14ac:dyDescent="0.25">
      <c r="A310" s="1">
        <v>309</v>
      </c>
      <c r="B310" s="1" t="s">
        <v>72</v>
      </c>
      <c r="C310" s="1" t="s">
        <v>412</v>
      </c>
      <c r="D310" s="1" t="s">
        <v>151</v>
      </c>
      <c r="E310" s="1">
        <v>2023</v>
      </c>
      <c r="F310" s="37" t="s">
        <v>422</v>
      </c>
      <c r="G310" s="37" t="s">
        <v>423</v>
      </c>
      <c r="H310" s="34">
        <v>19</v>
      </c>
      <c r="I310" s="50">
        <v>47.1</v>
      </c>
      <c r="J310" s="1">
        <f t="shared" si="4"/>
        <v>1789.8</v>
      </c>
      <c r="K310">
        <f>J310*Emission_factor!$C$48</f>
        <v>1060.99344</v>
      </c>
    </row>
    <row r="311" spans="1:11" x14ac:dyDescent="0.25">
      <c r="A311" s="1">
        <v>310</v>
      </c>
      <c r="B311" s="1" t="s">
        <v>72</v>
      </c>
      <c r="C311" s="1" t="s">
        <v>412</v>
      </c>
      <c r="D311" s="1" t="s">
        <v>151</v>
      </c>
      <c r="E311" s="1">
        <v>2023</v>
      </c>
      <c r="F311" s="37" t="s">
        <v>422</v>
      </c>
      <c r="G311" s="37" t="s">
        <v>423</v>
      </c>
      <c r="H311" s="34">
        <v>24</v>
      </c>
      <c r="I311" s="50">
        <v>47.1</v>
      </c>
      <c r="J311" s="1">
        <f t="shared" si="4"/>
        <v>2260.8000000000002</v>
      </c>
      <c r="K311">
        <f>J311*Emission_factor!$C$48</f>
        <v>1340.2022400000001</v>
      </c>
    </row>
    <row r="312" spans="1:11" x14ac:dyDescent="0.25">
      <c r="A312" s="1">
        <v>311</v>
      </c>
      <c r="B312" s="1" t="s">
        <v>72</v>
      </c>
      <c r="C312" s="1" t="s">
        <v>412</v>
      </c>
      <c r="D312" s="1" t="s">
        <v>151</v>
      </c>
      <c r="E312" s="1">
        <v>2023</v>
      </c>
      <c r="F312" s="37" t="s">
        <v>422</v>
      </c>
      <c r="G312" s="37" t="s">
        <v>423</v>
      </c>
      <c r="H312" s="34">
        <v>15</v>
      </c>
      <c r="I312" s="50">
        <v>47.1</v>
      </c>
      <c r="J312" s="1">
        <f t="shared" si="4"/>
        <v>1413</v>
      </c>
      <c r="K312">
        <f>J312*Emission_factor!$C$48</f>
        <v>837.62639999999999</v>
      </c>
    </row>
    <row r="313" spans="1:11" x14ac:dyDescent="0.25">
      <c r="A313" s="1">
        <v>312</v>
      </c>
      <c r="B313" s="1" t="s">
        <v>72</v>
      </c>
      <c r="C313" s="1" t="s">
        <v>412</v>
      </c>
      <c r="D313" s="1" t="s">
        <v>151</v>
      </c>
      <c r="E313" s="1">
        <v>2023</v>
      </c>
      <c r="F313" s="37" t="s">
        <v>436</v>
      </c>
      <c r="G313" s="37" t="s">
        <v>437</v>
      </c>
      <c r="H313" s="34">
        <v>42</v>
      </c>
      <c r="I313" s="50">
        <v>73</v>
      </c>
      <c r="J313" s="1">
        <f t="shared" si="4"/>
        <v>6132</v>
      </c>
      <c r="K313">
        <f>J313*Emission_factor!$C$48</f>
        <v>3635.0495999999998</v>
      </c>
    </row>
    <row r="314" spans="1:11" x14ac:dyDescent="0.25">
      <c r="A314" s="1">
        <v>313</v>
      </c>
      <c r="B314" s="1" t="s">
        <v>72</v>
      </c>
      <c r="C314" s="1" t="s">
        <v>412</v>
      </c>
      <c r="D314" s="1" t="s">
        <v>151</v>
      </c>
      <c r="E314" s="1">
        <v>2023</v>
      </c>
      <c r="F314" s="37" t="s">
        <v>426</v>
      </c>
      <c r="G314" s="37" t="s">
        <v>427</v>
      </c>
      <c r="H314" s="34">
        <v>11</v>
      </c>
      <c r="I314" s="50">
        <v>168</v>
      </c>
      <c r="J314" s="1">
        <f t="shared" si="4"/>
        <v>3696</v>
      </c>
      <c r="K314">
        <f>J314*Emission_factor!$C$48</f>
        <v>2190.9888000000001</v>
      </c>
    </row>
    <row r="315" spans="1:11" x14ac:dyDescent="0.25">
      <c r="A315" s="1">
        <v>314</v>
      </c>
      <c r="B315" s="1" t="s">
        <v>72</v>
      </c>
      <c r="C315" s="1" t="s">
        <v>412</v>
      </c>
      <c r="D315" s="1" t="s">
        <v>151</v>
      </c>
      <c r="E315" s="1">
        <v>2023</v>
      </c>
      <c r="F315" s="37" t="s">
        <v>422</v>
      </c>
      <c r="G315" s="37" t="s">
        <v>423</v>
      </c>
      <c r="H315" s="34">
        <v>43</v>
      </c>
      <c r="I315" s="50">
        <v>47.1</v>
      </c>
      <c r="J315" s="1">
        <f t="shared" si="4"/>
        <v>4050.6</v>
      </c>
      <c r="K315">
        <f>J315*Emission_factor!$C$48</f>
        <v>2401.1956799999998</v>
      </c>
    </row>
    <row r="316" spans="1:11" x14ac:dyDescent="0.25">
      <c r="A316" s="1">
        <v>315</v>
      </c>
      <c r="B316" s="1" t="s">
        <v>72</v>
      </c>
      <c r="C316" s="1" t="s">
        <v>412</v>
      </c>
      <c r="D316" s="1" t="s">
        <v>151</v>
      </c>
      <c r="E316" s="1">
        <v>2023</v>
      </c>
      <c r="F316" s="37" t="s">
        <v>446</v>
      </c>
      <c r="G316" s="37" t="s">
        <v>447</v>
      </c>
      <c r="H316" s="34">
        <v>8</v>
      </c>
      <c r="I316" s="50">
        <v>65.5</v>
      </c>
      <c r="J316" s="1">
        <f t="shared" si="4"/>
        <v>1048</v>
      </c>
      <c r="K316">
        <f>J316*Emission_factor!$C$48</f>
        <v>621.25440000000003</v>
      </c>
    </row>
    <row r="317" spans="1:11" x14ac:dyDescent="0.25">
      <c r="A317" s="1">
        <v>316</v>
      </c>
      <c r="B317" s="1" t="s">
        <v>72</v>
      </c>
      <c r="C317" s="1" t="s">
        <v>412</v>
      </c>
      <c r="D317" s="1" t="s">
        <v>151</v>
      </c>
      <c r="E317" s="1">
        <v>2023</v>
      </c>
      <c r="F317" s="37" t="s">
        <v>444</v>
      </c>
      <c r="G317" s="37" t="s">
        <v>445</v>
      </c>
      <c r="H317" s="34">
        <v>48</v>
      </c>
      <c r="I317" s="50">
        <v>81.3</v>
      </c>
      <c r="J317" s="1">
        <f t="shared" si="4"/>
        <v>7804.7999999999993</v>
      </c>
      <c r="K317">
        <f>J317*Emission_factor!$C$48</f>
        <v>4626.6854399999993</v>
      </c>
    </row>
    <row r="318" spans="1:11" x14ac:dyDescent="0.25">
      <c r="A318" s="1">
        <v>317</v>
      </c>
      <c r="B318" s="1" t="s">
        <v>72</v>
      </c>
      <c r="C318" s="1" t="s">
        <v>412</v>
      </c>
      <c r="D318" s="1" t="s">
        <v>151</v>
      </c>
      <c r="E318" s="1">
        <v>2023</v>
      </c>
      <c r="F318" s="37" t="s">
        <v>442</v>
      </c>
      <c r="G318" s="37" t="s">
        <v>443</v>
      </c>
      <c r="H318" s="34">
        <v>8</v>
      </c>
      <c r="I318" s="50">
        <v>102</v>
      </c>
      <c r="J318" s="1">
        <f t="shared" si="4"/>
        <v>1632</v>
      </c>
      <c r="K318">
        <f>J318*Emission_factor!$C$48</f>
        <v>967.44960000000003</v>
      </c>
    </row>
    <row r="319" spans="1:11" x14ac:dyDescent="0.25">
      <c r="A319" s="1">
        <v>318</v>
      </c>
      <c r="B319" s="1" t="s">
        <v>72</v>
      </c>
      <c r="C319" s="1" t="s">
        <v>412</v>
      </c>
      <c r="D319" s="1" t="s">
        <v>151</v>
      </c>
      <c r="E319" s="1">
        <v>2023</v>
      </c>
      <c r="F319" s="42" t="s">
        <v>452</v>
      </c>
      <c r="G319" s="37" t="s">
        <v>453</v>
      </c>
      <c r="H319" s="34">
        <v>41</v>
      </c>
      <c r="I319" s="50">
        <v>76.099999999999994</v>
      </c>
      <c r="J319" s="1">
        <f t="shared" si="4"/>
        <v>6240.2</v>
      </c>
      <c r="K319">
        <f>J319*Emission_factor!$C$48</f>
        <v>3699.19056</v>
      </c>
    </row>
    <row r="320" spans="1:11" x14ac:dyDescent="0.25">
      <c r="A320" s="1">
        <v>319</v>
      </c>
      <c r="B320" s="1" t="s">
        <v>72</v>
      </c>
      <c r="C320" s="1" t="s">
        <v>412</v>
      </c>
      <c r="D320" s="1" t="s">
        <v>151</v>
      </c>
      <c r="E320" s="1">
        <v>2023</v>
      </c>
      <c r="F320" s="37" t="s">
        <v>435</v>
      </c>
      <c r="G320" s="37" t="s">
        <v>457</v>
      </c>
      <c r="H320" s="34">
        <v>8</v>
      </c>
      <c r="I320" s="50">
        <v>34.1</v>
      </c>
      <c r="J320" s="1">
        <f t="shared" si="4"/>
        <v>545.6</v>
      </c>
      <c r="K320">
        <f>J320*Emission_factor!$C$48</f>
        <v>323.43168000000003</v>
      </c>
    </row>
    <row r="321" spans="1:11" x14ac:dyDescent="0.25">
      <c r="A321" s="1">
        <v>320</v>
      </c>
      <c r="B321" s="1" t="s">
        <v>72</v>
      </c>
      <c r="C321" s="1" t="s">
        <v>412</v>
      </c>
      <c r="D321" s="1" t="s">
        <v>151</v>
      </c>
      <c r="E321" s="1">
        <v>2023</v>
      </c>
      <c r="F321" s="37" t="s">
        <v>428</v>
      </c>
      <c r="G321" s="37" t="s">
        <v>429</v>
      </c>
      <c r="H321" s="34">
        <v>8</v>
      </c>
      <c r="I321" s="50">
        <v>29.4</v>
      </c>
      <c r="J321" s="1">
        <f t="shared" si="4"/>
        <v>470.4</v>
      </c>
      <c r="K321">
        <f>J321*Emission_factor!$C$48</f>
        <v>278.85311999999999</v>
      </c>
    </row>
    <row r="322" spans="1:11" x14ac:dyDescent="0.25">
      <c r="A322" s="1">
        <v>321</v>
      </c>
      <c r="B322" s="1" t="s">
        <v>72</v>
      </c>
      <c r="C322" s="1" t="s">
        <v>412</v>
      </c>
      <c r="D322" s="1" t="s">
        <v>151</v>
      </c>
      <c r="E322" s="1">
        <v>2023</v>
      </c>
      <c r="F322" s="37" t="s">
        <v>435</v>
      </c>
      <c r="G322" s="37" t="s">
        <v>457</v>
      </c>
      <c r="H322" s="34">
        <v>8</v>
      </c>
      <c r="I322" s="50">
        <v>34.1</v>
      </c>
      <c r="J322" s="1">
        <f t="shared" si="4"/>
        <v>545.6</v>
      </c>
      <c r="K322">
        <f>J322*Emission_factor!$C$48</f>
        <v>323.43168000000003</v>
      </c>
    </row>
    <row r="323" spans="1:11" x14ac:dyDescent="0.25">
      <c r="A323" s="1">
        <v>322</v>
      </c>
      <c r="B323" s="1" t="s">
        <v>72</v>
      </c>
      <c r="C323" s="1" t="s">
        <v>412</v>
      </c>
      <c r="D323" s="1" t="s">
        <v>151</v>
      </c>
      <c r="E323" s="1">
        <v>2023</v>
      </c>
      <c r="F323" s="42" t="s">
        <v>426</v>
      </c>
      <c r="G323" s="37" t="s">
        <v>427</v>
      </c>
      <c r="H323" s="34">
        <v>25</v>
      </c>
      <c r="I323" s="50">
        <v>168</v>
      </c>
      <c r="J323" s="1">
        <f t="shared" ref="J323:J386" si="5">H323*I323*2</f>
        <v>8400</v>
      </c>
      <c r="K323">
        <f>J323*Emission_factor!$C$48</f>
        <v>4979.5199999999995</v>
      </c>
    </row>
    <row r="324" spans="1:11" x14ac:dyDescent="0.25">
      <c r="A324" s="1">
        <v>323</v>
      </c>
      <c r="B324" s="1" t="s">
        <v>72</v>
      </c>
      <c r="C324" s="1" t="s">
        <v>412</v>
      </c>
      <c r="D324" s="1" t="s">
        <v>151</v>
      </c>
      <c r="E324" s="1">
        <v>2023</v>
      </c>
      <c r="F324" s="37" t="s">
        <v>422</v>
      </c>
      <c r="G324" s="37" t="s">
        <v>423</v>
      </c>
      <c r="H324" s="34">
        <v>59</v>
      </c>
      <c r="I324" s="50">
        <v>47.1</v>
      </c>
      <c r="J324" s="1">
        <f t="shared" si="5"/>
        <v>5557.8</v>
      </c>
      <c r="K324">
        <f>J324*Emission_factor!$C$48</f>
        <v>3294.6638400000002</v>
      </c>
    </row>
    <row r="325" spans="1:11" x14ac:dyDescent="0.25">
      <c r="A325" s="1">
        <v>324</v>
      </c>
      <c r="B325" s="1" t="s">
        <v>72</v>
      </c>
      <c r="C325" s="1" t="s">
        <v>412</v>
      </c>
      <c r="D325" s="1" t="s">
        <v>151</v>
      </c>
      <c r="E325" s="1">
        <v>2023</v>
      </c>
      <c r="F325" s="37" t="s">
        <v>438</v>
      </c>
      <c r="G325" s="37" t="s">
        <v>439</v>
      </c>
      <c r="H325" s="34">
        <v>58</v>
      </c>
      <c r="I325" s="50">
        <v>67.3</v>
      </c>
      <c r="J325" s="1">
        <f t="shared" si="5"/>
        <v>7806.7999999999993</v>
      </c>
      <c r="K325">
        <f>J325*Emission_factor!$C$48</f>
        <v>4627.8710399999991</v>
      </c>
    </row>
    <row r="326" spans="1:11" x14ac:dyDescent="0.25">
      <c r="A326" s="1">
        <v>325</v>
      </c>
      <c r="B326" s="1" t="s">
        <v>72</v>
      </c>
      <c r="C326" s="1" t="s">
        <v>412</v>
      </c>
      <c r="D326" s="1" t="s">
        <v>151</v>
      </c>
      <c r="E326" s="1">
        <v>2023</v>
      </c>
      <c r="F326" s="37" t="s">
        <v>438</v>
      </c>
      <c r="G326" s="37" t="s">
        <v>439</v>
      </c>
      <c r="H326" s="34">
        <v>44</v>
      </c>
      <c r="I326" s="50">
        <v>67.3</v>
      </c>
      <c r="J326" s="1">
        <f t="shared" si="5"/>
        <v>5922.4</v>
      </c>
      <c r="K326">
        <f>J326*Emission_factor!$C$48</f>
        <v>3510.7987199999998</v>
      </c>
    </row>
    <row r="327" spans="1:11" x14ac:dyDescent="0.25">
      <c r="A327" s="1">
        <v>326</v>
      </c>
      <c r="B327" s="1" t="s">
        <v>72</v>
      </c>
      <c r="C327" s="1" t="s">
        <v>412</v>
      </c>
      <c r="D327" s="1" t="s">
        <v>151</v>
      </c>
      <c r="E327" s="1">
        <v>2023</v>
      </c>
      <c r="F327" s="37" t="s">
        <v>422</v>
      </c>
      <c r="G327" s="37" t="s">
        <v>423</v>
      </c>
      <c r="H327" s="34">
        <v>100</v>
      </c>
      <c r="I327" s="50">
        <v>47.1</v>
      </c>
      <c r="J327" s="1">
        <f t="shared" si="5"/>
        <v>9420</v>
      </c>
      <c r="K327">
        <f>J327*Emission_factor!$C$48</f>
        <v>5584.1760000000004</v>
      </c>
    </row>
    <row r="328" spans="1:11" x14ac:dyDescent="0.25">
      <c r="A328" s="1">
        <v>327</v>
      </c>
      <c r="B328" s="1" t="s">
        <v>72</v>
      </c>
      <c r="C328" s="1" t="s">
        <v>412</v>
      </c>
      <c r="D328" s="1" t="s">
        <v>151</v>
      </c>
      <c r="E328" s="1">
        <v>2023</v>
      </c>
      <c r="F328" s="37" t="s">
        <v>452</v>
      </c>
      <c r="G328" s="37" t="s">
        <v>453</v>
      </c>
      <c r="H328" s="34">
        <v>48</v>
      </c>
      <c r="I328" s="50">
        <v>76.099999999999994</v>
      </c>
      <c r="J328" s="1">
        <f t="shared" si="5"/>
        <v>7305.5999999999995</v>
      </c>
      <c r="K328">
        <f>J328*Emission_factor!$C$48</f>
        <v>4330.7596799999992</v>
      </c>
    </row>
    <row r="329" spans="1:11" x14ac:dyDescent="0.25">
      <c r="A329" s="1">
        <v>328</v>
      </c>
      <c r="B329" s="1" t="s">
        <v>72</v>
      </c>
      <c r="C329" s="1" t="s">
        <v>412</v>
      </c>
      <c r="D329" s="1" t="s">
        <v>151</v>
      </c>
      <c r="E329" s="1">
        <v>2023</v>
      </c>
      <c r="F329" s="37" t="s">
        <v>436</v>
      </c>
      <c r="G329" s="37" t="s">
        <v>437</v>
      </c>
      <c r="H329" s="34">
        <v>42</v>
      </c>
      <c r="I329" s="50">
        <v>73</v>
      </c>
      <c r="J329" s="1">
        <f t="shared" si="5"/>
        <v>6132</v>
      </c>
      <c r="K329">
        <f>J329*Emission_factor!$C$48</f>
        <v>3635.0495999999998</v>
      </c>
    </row>
    <row r="330" spans="1:11" x14ac:dyDescent="0.25">
      <c r="A330" s="1">
        <v>329</v>
      </c>
      <c r="B330" s="1" t="s">
        <v>72</v>
      </c>
      <c r="C330" s="1" t="s">
        <v>412</v>
      </c>
      <c r="D330" s="1" t="s">
        <v>151</v>
      </c>
      <c r="E330" s="1">
        <v>2023</v>
      </c>
      <c r="F330" s="42" t="s">
        <v>426</v>
      </c>
      <c r="G330" s="37" t="s">
        <v>427</v>
      </c>
      <c r="H330" s="34">
        <v>25</v>
      </c>
      <c r="I330" s="50">
        <v>168</v>
      </c>
      <c r="J330" s="1">
        <f t="shared" si="5"/>
        <v>8400</v>
      </c>
      <c r="K330">
        <f>J330*Emission_factor!$C$48</f>
        <v>4979.5199999999995</v>
      </c>
    </row>
    <row r="331" spans="1:11" x14ac:dyDescent="0.25">
      <c r="A331" s="1">
        <v>330</v>
      </c>
      <c r="B331" s="1" t="s">
        <v>72</v>
      </c>
      <c r="C331" s="1" t="s">
        <v>412</v>
      </c>
      <c r="D331" s="1" t="s">
        <v>151</v>
      </c>
      <c r="E331" s="1">
        <v>2023</v>
      </c>
      <c r="F331" s="37" t="s">
        <v>438</v>
      </c>
      <c r="G331" s="37" t="s">
        <v>439</v>
      </c>
      <c r="H331" s="34">
        <v>71</v>
      </c>
      <c r="I331" s="50">
        <v>67.3</v>
      </c>
      <c r="J331" s="1">
        <f t="shared" si="5"/>
        <v>9556.6</v>
      </c>
      <c r="K331">
        <f>J331*Emission_factor!$C$48</f>
        <v>5665.1524799999997</v>
      </c>
    </row>
    <row r="332" spans="1:11" x14ac:dyDescent="0.25">
      <c r="A332" s="1">
        <v>331</v>
      </c>
      <c r="B332" s="1" t="s">
        <v>72</v>
      </c>
      <c r="C332" s="1" t="s">
        <v>412</v>
      </c>
      <c r="D332" s="1" t="s">
        <v>151</v>
      </c>
      <c r="E332" s="1">
        <v>2023</v>
      </c>
      <c r="F332" s="42" t="s">
        <v>422</v>
      </c>
      <c r="G332" s="37" t="s">
        <v>423</v>
      </c>
      <c r="H332" s="34">
        <v>7</v>
      </c>
      <c r="I332" s="50">
        <v>47.1</v>
      </c>
      <c r="J332" s="1">
        <f t="shared" si="5"/>
        <v>659.4</v>
      </c>
      <c r="K332">
        <f>J332*Emission_factor!$C$48</f>
        <v>390.89231999999998</v>
      </c>
    </row>
    <row r="333" spans="1:11" x14ac:dyDescent="0.25">
      <c r="A333" s="1">
        <v>332</v>
      </c>
      <c r="B333" s="1" t="s">
        <v>72</v>
      </c>
      <c r="C333" s="1" t="s">
        <v>412</v>
      </c>
      <c r="D333" s="1" t="s">
        <v>151</v>
      </c>
      <c r="E333" s="1">
        <v>2023</v>
      </c>
      <c r="F333" s="37" t="s">
        <v>452</v>
      </c>
      <c r="G333" s="37" t="s">
        <v>453</v>
      </c>
      <c r="H333" s="34">
        <v>50</v>
      </c>
      <c r="I333" s="50">
        <v>76.099999999999994</v>
      </c>
      <c r="J333" s="1">
        <f t="shared" si="5"/>
        <v>7609.9999999999991</v>
      </c>
      <c r="K333">
        <f>J333*Emission_factor!$C$48</f>
        <v>4511.2079999999996</v>
      </c>
    </row>
    <row r="334" spans="1:11" x14ac:dyDescent="0.25">
      <c r="A334" s="1">
        <v>333</v>
      </c>
      <c r="B334" s="1" t="s">
        <v>72</v>
      </c>
      <c r="C334" s="1" t="s">
        <v>412</v>
      </c>
      <c r="D334" s="1" t="s">
        <v>151</v>
      </c>
      <c r="E334" s="1">
        <v>2023</v>
      </c>
      <c r="F334" s="37" t="s">
        <v>444</v>
      </c>
      <c r="G334" s="37" t="s">
        <v>445</v>
      </c>
      <c r="H334" s="34">
        <v>25</v>
      </c>
      <c r="I334" s="50">
        <v>81.3</v>
      </c>
      <c r="J334" s="1">
        <f t="shared" si="5"/>
        <v>4065</v>
      </c>
      <c r="K334">
        <f>J334*Emission_factor!$C$48</f>
        <v>2409.732</v>
      </c>
    </row>
    <row r="335" spans="1:11" x14ac:dyDescent="0.25">
      <c r="A335" s="1">
        <v>334</v>
      </c>
      <c r="B335" s="1" t="s">
        <v>72</v>
      </c>
      <c r="C335" s="1" t="s">
        <v>412</v>
      </c>
      <c r="D335" s="1" t="s">
        <v>151</v>
      </c>
      <c r="E335" s="1">
        <v>2023</v>
      </c>
      <c r="F335" s="37" t="s">
        <v>426</v>
      </c>
      <c r="G335" s="37" t="s">
        <v>427</v>
      </c>
      <c r="H335" s="34">
        <v>34</v>
      </c>
      <c r="I335" s="50">
        <v>168</v>
      </c>
      <c r="J335" s="1">
        <f t="shared" si="5"/>
        <v>11424</v>
      </c>
      <c r="K335">
        <f>J335*Emission_factor!$C$48</f>
        <v>6772.1472000000003</v>
      </c>
    </row>
    <row r="336" spans="1:11" x14ac:dyDescent="0.25">
      <c r="A336" s="1">
        <v>335</v>
      </c>
      <c r="B336" s="1" t="s">
        <v>72</v>
      </c>
      <c r="C336" s="1" t="s">
        <v>412</v>
      </c>
      <c r="D336" s="1" t="s">
        <v>151</v>
      </c>
      <c r="E336" s="1">
        <v>2023</v>
      </c>
      <c r="F336" s="37" t="s">
        <v>426</v>
      </c>
      <c r="G336" s="37" t="s">
        <v>427</v>
      </c>
      <c r="H336" s="34">
        <v>7</v>
      </c>
      <c r="I336" s="50">
        <v>168</v>
      </c>
      <c r="J336" s="1">
        <f t="shared" si="5"/>
        <v>2352</v>
      </c>
      <c r="K336">
        <f>J336*Emission_factor!$C$48</f>
        <v>1394.2655999999999</v>
      </c>
    </row>
    <row r="337" spans="1:11" x14ac:dyDescent="0.25">
      <c r="A337" s="1">
        <v>336</v>
      </c>
      <c r="B337" s="1" t="s">
        <v>72</v>
      </c>
      <c r="C337" s="1" t="s">
        <v>412</v>
      </c>
      <c r="D337" s="1" t="s">
        <v>151</v>
      </c>
      <c r="E337" s="1">
        <v>2023</v>
      </c>
      <c r="F337" s="37" t="s">
        <v>438</v>
      </c>
      <c r="G337" s="37" t="s">
        <v>439</v>
      </c>
      <c r="H337" s="34">
        <v>1</v>
      </c>
      <c r="I337" s="50">
        <v>67.3</v>
      </c>
      <c r="J337" s="1">
        <f t="shared" si="5"/>
        <v>134.6</v>
      </c>
      <c r="K337">
        <f>J337*Emission_factor!$C$48</f>
        <v>79.790880000000001</v>
      </c>
    </row>
    <row r="338" spans="1:11" x14ac:dyDescent="0.25">
      <c r="A338" s="1">
        <v>337</v>
      </c>
      <c r="B338" s="1" t="s">
        <v>72</v>
      </c>
      <c r="C338" s="1" t="s">
        <v>412</v>
      </c>
      <c r="D338" s="1" t="s">
        <v>151</v>
      </c>
      <c r="E338" s="1">
        <v>2023</v>
      </c>
      <c r="F338" s="37" t="s">
        <v>438</v>
      </c>
      <c r="G338" s="37" t="s">
        <v>439</v>
      </c>
      <c r="H338" s="34">
        <v>2</v>
      </c>
      <c r="I338" s="50">
        <v>67.3</v>
      </c>
      <c r="J338" s="1">
        <f t="shared" si="5"/>
        <v>269.2</v>
      </c>
      <c r="K338">
        <f>J338*Emission_factor!$C$48</f>
        <v>159.58176</v>
      </c>
    </row>
    <row r="339" spans="1:11" x14ac:dyDescent="0.25">
      <c r="A339" s="1">
        <v>338</v>
      </c>
      <c r="B339" s="1" t="s">
        <v>72</v>
      </c>
      <c r="C339" s="1" t="s">
        <v>412</v>
      </c>
      <c r="D339" s="1" t="s">
        <v>151</v>
      </c>
      <c r="E339" s="1">
        <v>2023</v>
      </c>
      <c r="F339" s="37" t="s">
        <v>438</v>
      </c>
      <c r="G339" s="37" t="s">
        <v>439</v>
      </c>
      <c r="H339" s="34">
        <v>1</v>
      </c>
      <c r="I339" s="50">
        <v>67.3</v>
      </c>
      <c r="J339" s="1">
        <f t="shared" si="5"/>
        <v>134.6</v>
      </c>
      <c r="K339">
        <f>J339*Emission_factor!$C$48</f>
        <v>79.790880000000001</v>
      </c>
    </row>
    <row r="340" spans="1:11" x14ac:dyDescent="0.25">
      <c r="A340" s="1">
        <v>339</v>
      </c>
      <c r="B340" s="1" t="s">
        <v>72</v>
      </c>
      <c r="C340" s="1" t="s">
        <v>412</v>
      </c>
      <c r="D340" s="1" t="s">
        <v>151</v>
      </c>
      <c r="E340" s="1">
        <v>2023</v>
      </c>
      <c r="F340" s="37" t="s">
        <v>422</v>
      </c>
      <c r="G340" s="37" t="s">
        <v>423</v>
      </c>
      <c r="H340" s="34">
        <v>1</v>
      </c>
      <c r="I340" s="50">
        <v>47.1</v>
      </c>
      <c r="J340" s="1">
        <f t="shared" si="5"/>
        <v>94.2</v>
      </c>
      <c r="K340">
        <f>J340*Emission_factor!$C$48</f>
        <v>55.841760000000001</v>
      </c>
    </row>
    <row r="341" spans="1:11" x14ac:dyDescent="0.25">
      <c r="A341" s="1">
        <v>340</v>
      </c>
      <c r="B341" s="1" t="s">
        <v>72</v>
      </c>
      <c r="C341" s="1" t="s">
        <v>412</v>
      </c>
      <c r="D341" s="1" t="s">
        <v>151</v>
      </c>
      <c r="E341" s="1">
        <v>2023</v>
      </c>
      <c r="F341" s="37" t="s">
        <v>422</v>
      </c>
      <c r="G341" s="37" t="s">
        <v>423</v>
      </c>
      <c r="H341" s="34">
        <v>16</v>
      </c>
      <c r="I341" s="50">
        <v>47.1</v>
      </c>
      <c r="J341" s="1">
        <f t="shared" si="5"/>
        <v>1507.2</v>
      </c>
      <c r="K341">
        <f>J341*Emission_factor!$C$48</f>
        <v>893.46816000000001</v>
      </c>
    </row>
    <row r="342" spans="1:11" x14ac:dyDescent="0.25">
      <c r="A342" s="1">
        <v>341</v>
      </c>
      <c r="B342" s="1" t="s">
        <v>72</v>
      </c>
      <c r="C342" s="1" t="s">
        <v>412</v>
      </c>
      <c r="D342" s="1" t="s">
        <v>151</v>
      </c>
      <c r="E342" s="1">
        <v>2023</v>
      </c>
      <c r="F342" s="37" t="s">
        <v>422</v>
      </c>
      <c r="G342" s="37" t="s">
        <v>423</v>
      </c>
      <c r="H342" s="34">
        <v>81</v>
      </c>
      <c r="I342" s="50">
        <v>47.1</v>
      </c>
      <c r="J342" s="1">
        <f t="shared" si="5"/>
        <v>7630.2</v>
      </c>
      <c r="K342">
        <f>J342*Emission_factor!$C$48</f>
        <v>4523.1825600000002</v>
      </c>
    </row>
    <row r="343" spans="1:11" x14ac:dyDescent="0.25">
      <c r="A343" s="1">
        <v>342</v>
      </c>
      <c r="B343" s="1" t="s">
        <v>72</v>
      </c>
      <c r="C343" s="1" t="s">
        <v>412</v>
      </c>
      <c r="D343" s="1" t="s">
        <v>151</v>
      </c>
      <c r="E343" s="1">
        <v>2023</v>
      </c>
      <c r="F343" s="37" t="s">
        <v>452</v>
      </c>
      <c r="G343" s="37" t="s">
        <v>453</v>
      </c>
      <c r="H343" s="34">
        <v>69</v>
      </c>
      <c r="I343" s="50">
        <v>76.099999999999994</v>
      </c>
      <c r="J343" s="1">
        <f t="shared" si="5"/>
        <v>10501.8</v>
      </c>
      <c r="K343">
        <f>J343*Emission_factor!$C$48</f>
        <v>6225.4670399999995</v>
      </c>
    </row>
    <row r="344" spans="1:11" x14ac:dyDescent="0.25">
      <c r="A344" s="1">
        <v>343</v>
      </c>
      <c r="B344" s="1" t="s">
        <v>72</v>
      </c>
      <c r="C344" s="1" t="s">
        <v>412</v>
      </c>
      <c r="D344" s="1" t="s">
        <v>151</v>
      </c>
      <c r="E344" s="1">
        <v>2023</v>
      </c>
      <c r="F344" s="37" t="s">
        <v>444</v>
      </c>
      <c r="G344" s="37" t="s">
        <v>445</v>
      </c>
      <c r="H344" s="34">
        <v>11</v>
      </c>
      <c r="I344" s="50">
        <v>81.3</v>
      </c>
      <c r="J344" s="1">
        <f t="shared" si="5"/>
        <v>1788.6</v>
      </c>
      <c r="K344">
        <f>J344*Emission_factor!$C$48</f>
        <v>1060.28208</v>
      </c>
    </row>
    <row r="345" spans="1:11" x14ac:dyDescent="0.25">
      <c r="A345" s="1">
        <v>344</v>
      </c>
      <c r="B345" s="1" t="s">
        <v>72</v>
      </c>
      <c r="C345" s="1" t="s">
        <v>412</v>
      </c>
      <c r="D345" s="1" t="s">
        <v>151</v>
      </c>
      <c r="E345" s="1">
        <v>2023</v>
      </c>
      <c r="F345" s="37" t="s">
        <v>426</v>
      </c>
      <c r="G345" s="37" t="s">
        <v>427</v>
      </c>
      <c r="H345" s="34">
        <v>1</v>
      </c>
      <c r="I345" s="50">
        <v>168</v>
      </c>
      <c r="J345" s="1">
        <f t="shared" si="5"/>
        <v>336</v>
      </c>
      <c r="K345">
        <f>J345*Emission_factor!$C$48</f>
        <v>199.1808</v>
      </c>
    </row>
    <row r="346" spans="1:11" x14ac:dyDescent="0.25">
      <c r="A346" s="1">
        <v>345</v>
      </c>
      <c r="B346" s="1" t="s">
        <v>72</v>
      </c>
      <c r="C346" s="1" t="s">
        <v>412</v>
      </c>
      <c r="D346" s="1" t="s">
        <v>151</v>
      </c>
      <c r="E346" s="1">
        <v>2023</v>
      </c>
      <c r="F346" s="37" t="s">
        <v>426</v>
      </c>
      <c r="G346" s="37" t="s">
        <v>427</v>
      </c>
      <c r="H346" s="34">
        <v>8</v>
      </c>
      <c r="I346" s="50">
        <v>168</v>
      </c>
      <c r="J346" s="1">
        <f t="shared" si="5"/>
        <v>2688</v>
      </c>
      <c r="K346">
        <f>J346*Emission_factor!$C$48</f>
        <v>1593.4464</v>
      </c>
    </row>
    <row r="347" spans="1:11" x14ac:dyDescent="0.25">
      <c r="A347" s="1">
        <v>346</v>
      </c>
      <c r="B347" s="1" t="s">
        <v>72</v>
      </c>
      <c r="C347" s="1" t="s">
        <v>412</v>
      </c>
      <c r="D347" s="1" t="s">
        <v>151</v>
      </c>
      <c r="E347" s="1">
        <v>2023</v>
      </c>
      <c r="F347" s="37" t="s">
        <v>422</v>
      </c>
      <c r="G347" s="37" t="s">
        <v>423</v>
      </c>
      <c r="H347" s="34">
        <v>3</v>
      </c>
      <c r="I347" s="50">
        <v>47.1</v>
      </c>
      <c r="J347" s="1">
        <f t="shared" si="5"/>
        <v>282.60000000000002</v>
      </c>
      <c r="K347">
        <f>J347*Emission_factor!$C$48</f>
        <v>167.52528000000001</v>
      </c>
    </row>
    <row r="348" spans="1:11" x14ac:dyDescent="0.25">
      <c r="A348" s="1">
        <v>347</v>
      </c>
      <c r="B348" s="1" t="s">
        <v>72</v>
      </c>
      <c r="C348" s="1" t="s">
        <v>412</v>
      </c>
      <c r="D348" s="1" t="s">
        <v>151</v>
      </c>
      <c r="E348" s="1">
        <v>2023</v>
      </c>
      <c r="F348" s="37" t="s">
        <v>422</v>
      </c>
      <c r="G348" s="37" t="s">
        <v>423</v>
      </c>
      <c r="H348" s="34">
        <v>82</v>
      </c>
      <c r="I348" s="50">
        <v>47.1</v>
      </c>
      <c r="J348" s="1">
        <f t="shared" si="5"/>
        <v>7724.4000000000005</v>
      </c>
      <c r="K348">
        <f>J348*Emission_factor!$C$48</f>
        <v>4579.0243200000004</v>
      </c>
    </row>
    <row r="349" spans="1:11" x14ac:dyDescent="0.25">
      <c r="A349" s="1">
        <v>348</v>
      </c>
      <c r="B349" s="1" t="s">
        <v>72</v>
      </c>
      <c r="C349" s="1" t="s">
        <v>412</v>
      </c>
      <c r="D349" s="1" t="s">
        <v>151</v>
      </c>
      <c r="E349" s="1">
        <v>2023</v>
      </c>
      <c r="F349" s="37" t="s">
        <v>452</v>
      </c>
      <c r="G349" s="37" t="s">
        <v>453</v>
      </c>
      <c r="H349" s="34">
        <v>1</v>
      </c>
      <c r="I349" s="50">
        <v>76.099999999999994</v>
      </c>
      <c r="J349" s="1">
        <f t="shared" si="5"/>
        <v>152.19999999999999</v>
      </c>
      <c r="K349">
        <f>J349*Emission_factor!$C$48</f>
        <v>90.224159999999998</v>
      </c>
    </row>
    <row r="350" spans="1:11" x14ac:dyDescent="0.25">
      <c r="A350" s="1">
        <v>349</v>
      </c>
      <c r="B350" s="1" t="s">
        <v>72</v>
      </c>
      <c r="C350" s="1" t="s">
        <v>412</v>
      </c>
      <c r="D350" s="1" t="s">
        <v>151</v>
      </c>
      <c r="E350" s="1">
        <v>2023</v>
      </c>
      <c r="F350" s="37" t="s">
        <v>452</v>
      </c>
      <c r="G350" s="37" t="s">
        <v>453</v>
      </c>
      <c r="H350" s="34">
        <v>3</v>
      </c>
      <c r="I350" s="50">
        <v>76.099999999999994</v>
      </c>
      <c r="J350" s="1">
        <f t="shared" si="5"/>
        <v>456.59999999999997</v>
      </c>
      <c r="K350">
        <f>J350*Emission_factor!$C$48</f>
        <v>270.67247999999995</v>
      </c>
    </row>
    <row r="351" spans="1:11" x14ac:dyDescent="0.25">
      <c r="A351" s="1">
        <v>350</v>
      </c>
      <c r="B351" s="1" t="s">
        <v>72</v>
      </c>
      <c r="C351" s="1" t="s">
        <v>412</v>
      </c>
      <c r="D351" s="1" t="s">
        <v>151</v>
      </c>
      <c r="E351" s="1">
        <v>2023</v>
      </c>
      <c r="F351" s="37" t="s">
        <v>452</v>
      </c>
      <c r="G351" s="37" t="s">
        <v>453</v>
      </c>
      <c r="H351" s="34">
        <v>1</v>
      </c>
      <c r="I351" s="50">
        <v>76.099999999999994</v>
      </c>
      <c r="J351" s="1">
        <f t="shared" si="5"/>
        <v>152.19999999999999</v>
      </c>
      <c r="K351">
        <f>J351*Emission_factor!$C$48</f>
        <v>90.224159999999998</v>
      </c>
    </row>
    <row r="352" spans="1:11" x14ac:dyDescent="0.25">
      <c r="A352" s="1">
        <v>351</v>
      </c>
      <c r="B352" s="1" t="s">
        <v>72</v>
      </c>
      <c r="C352" s="1" t="s">
        <v>412</v>
      </c>
      <c r="D352" s="1" t="s">
        <v>151</v>
      </c>
      <c r="E352" s="1">
        <v>2023</v>
      </c>
      <c r="F352" s="37" t="s">
        <v>426</v>
      </c>
      <c r="G352" s="37" t="s">
        <v>427</v>
      </c>
      <c r="H352" s="34">
        <v>84</v>
      </c>
      <c r="I352" s="50">
        <v>168</v>
      </c>
      <c r="J352" s="1">
        <f t="shared" si="5"/>
        <v>28224</v>
      </c>
      <c r="K352">
        <f>J352*Emission_factor!$C$48</f>
        <v>16731.1872</v>
      </c>
    </row>
    <row r="353" spans="1:11" x14ac:dyDescent="0.25">
      <c r="A353" s="1">
        <v>352</v>
      </c>
      <c r="B353" s="1" t="s">
        <v>72</v>
      </c>
      <c r="C353" s="1" t="s">
        <v>412</v>
      </c>
      <c r="D353" s="1" t="s">
        <v>151</v>
      </c>
      <c r="E353" s="1">
        <v>2023</v>
      </c>
      <c r="F353" s="37" t="s">
        <v>426</v>
      </c>
      <c r="G353" s="37" t="s">
        <v>427</v>
      </c>
      <c r="H353" s="34">
        <v>42</v>
      </c>
      <c r="I353" s="50">
        <v>168</v>
      </c>
      <c r="J353" s="1">
        <f t="shared" si="5"/>
        <v>14112</v>
      </c>
      <c r="K353">
        <f>J353*Emission_factor!$C$48</f>
        <v>8365.5936000000002</v>
      </c>
    </row>
    <row r="354" spans="1:11" x14ac:dyDescent="0.25">
      <c r="A354" s="1">
        <v>353</v>
      </c>
      <c r="B354" s="1" t="s">
        <v>72</v>
      </c>
      <c r="C354" s="1" t="s">
        <v>412</v>
      </c>
      <c r="D354" s="1" t="s">
        <v>151</v>
      </c>
      <c r="E354" s="1">
        <v>2023</v>
      </c>
      <c r="F354" s="37" t="s">
        <v>422</v>
      </c>
      <c r="G354" s="37" t="s">
        <v>423</v>
      </c>
      <c r="H354" s="34">
        <v>168</v>
      </c>
      <c r="I354" s="50">
        <v>47.1</v>
      </c>
      <c r="J354" s="1">
        <f t="shared" si="5"/>
        <v>15825.6</v>
      </c>
      <c r="K354">
        <f>J354*Emission_factor!$C$48</f>
        <v>9381.4156800000001</v>
      </c>
    </row>
    <row r="355" spans="1:11" x14ac:dyDescent="0.25">
      <c r="A355" s="1">
        <v>354</v>
      </c>
      <c r="B355" s="1" t="s">
        <v>72</v>
      </c>
      <c r="C355" s="1" t="s">
        <v>412</v>
      </c>
      <c r="D355" s="1" t="s">
        <v>151</v>
      </c>
      <c r="E355" s="1">
        <v>2023</v>
      </c>
      <c r="F355" s="37" t="s">
        <v>450</v>
      </c>
      <c r="G355" s="37" t="s">
        <v>451</v>
      </c>
      <c r="H355" s="34">
        <v>48</v>
      </c>
      <c r="I355" s="50">
        <v>45.7</v>
      </c>
      <c r="J355" s="1">
        <f t="shared" si="5"/>
        <v>4387.2000000000007</v>
      </c>
      <c r="K355">
        <f>J355*Emission_factor!$C$48</f>
        <v>2600.7321600000005</v>
      </c>
    </row>
    <row r="356" spans="1:11" x14ac:dyDescent="0.25">
      <c r="A356" s="1">
        <v>355</v>
      </c>
      <c r="B356" s="1" t="s">
        <v>72</v>
      </c>
      <c r="C356" s="1" t="s">
        <v>412</v>
      </c>
      <c r="D356" s="1" t="s">
        <v>151</v>
      </c>
      <c r="E356" s="1">
        <v>2023</v>
      </c>
      <c r="F356" s="37" t="s">
        <v>450</v>
      </c>
      <c r="G356" s="37" t="s">
        <v>451</v>
      </c>
      <c r="H356" s="34">
        <v>18</v>
      </c>
      <c r="I356" s="50">
        <v>45.7</v>
      </c>
      <c r="J356" s="1">
        <f t="shared" si="5"/>
        <v>1645.2</v>
      </c>
      <c r="K356">
        <f>J356*Emission_factor!$C$48</f>
        <v>975.27456000000006</v>
      </c>
    </row>
    <row r="357" spans="1:11" x14ac:dyDescent="0.25">
      <c r="A357" s="1">
        <v>356</v>
      </c>
      <c r="B357" s="1" t="s">
        <v>72</v>
      </c>
      <c r="C357" s="1" t="s">
        <v>412</v>
      </c>
      <c r="D357" s="1" t="s">
        <v>151</v>
      </c>
      <c r="E357" s="1">
        <v>2023</v>
      </c>
      <c r="F357" s="37" t="s">
        <v>450</v>
      </c>
      <c r="G357" s="37" t="s">
        <v>451</v>
      </c>
      <c r="H357" s="34">
        <v>19</v>
      </c>
      <c r="I357" s="50">
        <v>45.7</v>
      </c>
      <c r="J357" s="1">
        <f t="shared" si="5"/>
        <v>1736.6000000000001</v>
      </c>
      <c r="K357">
        <f>J357*Emission_factor!$C$48</f>
        <v>1029.4564800000001</v>
      </c>
    </row>
    <row r="358" spans="1:11" x14ac:dyDescent="0.25">
      <c r="A358" s="1">
        <v>357</v>
      </c>
      <c r="B358" s="1" t="s">
        <v>72</v>
      </c>
      <c r="C358" s="1" t="s">
        <v>412</v>
      </c>
      <c r="D358" s="1" t="s">
        <v>151</v>
      </c>
      <c r="E358" s="1">
        <v>2023</v>
      </c>
      <c r="F358" s="37" t="s">
        <v>422</v>
      </c>
      <c r="G358" s="37" t="s">
        <v>423</v>
      </c>
      <c r="H358" s="34">
        <v>84</v>
      </c>
      <c r="I358" s="50">
        <v>47.1</v>
      </c>
      <c r="J358" s="1">
        <f t="shared" si="5"/>
        <v>7912.8</v>
      </c>
      <c r="K358">
        <f>J358*Emission_factor!$C$48</f>
        <v>4690.70784</v>
      </c>
    </row>
    <row r="359" spans="1:11" x14ac:dyDescent="0.25">
      <c r="A359" s="1">
        <v>358</v>
      </c>
      <c r="B359" s="1" t="s">
        <v>72</v>
      </c>
      <c r="C359" s="1" t="s">
        <v>412</v>
      </c>
      <c r="D359" s="1" t="s">
        <v>151</v>
      </c>
      <c r="E359" s="1">
        <v>2023</v>
      </c>
      <c r="F359" s="37" t="s">
        <v>422</v>
      </c>
      <c r="G359" s="37" t="s">
        <v>423</v>
      </c>
      <c r="H359" s="34">
        <v>8</v>
      </c>
      <c r="I359" s="50">
        <v>47.1</v>
      </c>
      <c r="J359" s="1">
        <f t="shared" si="5"/>
        <v>753.6</v>
      </c>
      <c r="K359">
        <f>J359*Emission_factor!$C$48</f>
        <v>446.73408000000001</v>
      </c>
    </row>
    <row r="360" spans="1:11" x14ac:dyDescent="0.25">
      <c r="A360" s="1">
        <v>359</v>
      </c>
      <c r="B360" s="1" t="s">
        <v>72</v>
      </c>
      <c r="C360" s="1" t="s">
        <v>412</v>
      </c>
      <c r="D360" s="1" t="s">
        <v>151</v>
      </c>
      <c r="E360" s="1">
        <v>2023</v>
      </c>
      <c r="F360" s="37" t="s">
        <v>422</v>
      </c>
      <c r="G360" s="37" t="s">
        <v>423</v>
      </c>
      <c r="H360" s="34">
        <v>8</v>
      </c>
      <c r="I360" s="50">
        <v>47.1</v>
      </c>
      <c r="J360" s="1">
        <f t="shared" si="5"/>
        <v>753.6</v>
      </c>
      <c r="K360">
        <f>J360*Emission_factor!$C$48</f>
        <v>446.73408000000001</v>
      </c>
    </row>
    <row r="361" spans="1:11" x14ac:dyDescent="0.25">
      <c r="A361" s="1">
        <v>360</v>
      </c>
      <c r="B361" s="1" t="s">
        <v>72</v>
      </c>
      <c r="C361" s="1" t="s">
        <v>412</v>
      </c>
      <c r="D361" s="1" t="s">
        <v>151</v>
      </c>
      <c r="E361" s="1">
        <v>2023</v>
      </c>
      <c r="F361" s="37" t="s">
        <v>422</v>
      </c>
      <c r="G361" s="37" t="s">
        <v>423</v>
      </c>
      <c r="H361" s="34">
        <v>2</v>
      </c>
      <c r="I361" s="50">
        <v>47.1</v>
      </c>
      <c r="J361" s="1">
        <f t="shared" si="5"/>
        <v>188.4</v>
      </c>
      <c r="K361">
        <f>J361*Emission_factor!$C$48</f>
        <v>111.68352</v>
      </c>
    </row>
    <row r="362" spans="1:11" x14ac:dyDescent="0.25">
      <c r="A362" s="1">
        <v>361</v>
      </c>
      <c r="B362" s="1" t="s">
        <v>72</v>
      </c>
      <c r="C362" s="1" t="s">
        <v>412</v>
      </c>
      <c r="D362" s="1" t="s">
        <v>151</v>
      </c>
      <c r="E362" s="1">
        <v>2023</v>
      </c>
      <c r="F362" s="37" t="s">
        <v>436</v>
      </c>
      <c r="G362" s="37" t="s">
        <v>437</v>
      </c>
      <c r="H362" s="34">
        <v>42</v>
      </c>
      <c r="I362" s="50">
        <v>73</v>
      </c>
      <c r="J362" s="1">
        <f t="shared" si="5"/>
        <v>6132</v>
      </c>
      <c r="K362">
        <f>J362*Emission_factor!$C$48</f>
        <v>3635.0495999999998</v>
      </c>
    </row>
    <row r="363" spans="1:11" x14ac:dyDescent="0.25">
      <c r="A363" s="1">
        <v>362</v>
      </c>
      <c r="B363" s="1" t="s">
        <v>72</v>
      </c>
      <c r="C363" s="1" t="s">
        <v>412</v>
      </c>
      <c r="D363" s="1" t="s">
        <v>151</v>
      </c>
      <c r="E363" s="1">
        <v>2023</v>
      </c>
      <c r="F363" s="37" t="s">
        <v>438</v>
      </c>
      <c r="G363" s="37" t="s">
        <v>439</v>
      </c>
      <c r="H363" s="34">
        <v>84</v>
      </c>
      <c r="I363" s="50">
        <v>67.3</v>
      </c>
      <c r="J363" s="1">
        <f t="shared" si="5"/>
        <v>11306.4</v>
      </c>
      <c r="K363">
        <f>J363*Emission_factor!$C$48</f>
        <v>6702.4339199999995</v>
      </c>
    </row>
    <row r="364" spans="1:11" x14ac:dyDescent="0.25">
      <c r="A364" s="1">
        <v>363</v>
      </c>
      <c r="B364" s="1" t="s">
        <v>72</v>
      </c>
      <c r="C364" s="1" t="s">
        <v>412</v>
      </c>
      <c r="D364" s="1" t="s">
        <v>151</v>
      </c>
      <c r="E364" s="1">
        <v>2023</v>
      </c>
      <c r="F364" s="37" t="s">
        <v>413</v>
      </c>
      <c r="G364" s="37" t="s">
        <v>417</v>
      </c>
      <c r="H364" s="34">
        <v>62</v>
      </c>
      <c r="I364" s="50">
        <v>28.1</v>
      </c>
      <c r="J364" s="1">
        <f t="shared" si="5"/>
        <v>3484.4</v>
      </c>
      <c r="K364">
        <f>J364*Emission_factor!$C$48</f>
        <v>2065.5523200000002</v>
      </c>
    </row>
    <row r="365" spans="1:11" x14ac:dyDescent="0.25">
      <c r="A365" s="1">
        <v>364</v>
      </c>
      <c r="B365" s="1" t="s">
        <v>72</v>
      </c>
      <c r="C365" s="1" t="s">
        <v>412</v>
      </c>
      <c r="D365" s="1" t="s">
        <v>151</v>
      </c>
      <c r="E365" s="1">
        <v>2023</v>
      </c>
      <c r="F365" s="37" t="s">
        <v>436</v>
      </c>
      <c r="G365" s="37" t="s">
        <v>437</v>
      </c>
      <c r="H365" s="34">
        <v>33</v>
      </c>
      <c r="I365" s="50">
        <v>73</v>
      </c>
      <c r="J365" s="1">
        <f t="shared" si="5"/>
        <v>4818</v>
      </c>
      <c r="K365">
        <f>J365*Emission_factor!$C$48</f>
        <v>2856.1104</v>
      </c>
    </row>
    <row r="366" spans="1:11" x14ac:dyDescent="0.25">
      <c r="A366" s="1">
        <v>365</v>
      </c>
      <c r="B366" s="1" t="s">
        <v>72</v>
      </c>
      <c r="C366" s="1" t="s">
        <v>412</v>
      </c>
      <c r="D366" s="1" t="s">
        <v>151</v>
      </c>
      <c r="E366" s="1">
        <v>2023</v>
      </c>
      <c r="F366" s="37" t="s">
        <v>446</v>
      </c>
      <c r="G366" s="37" t="s">
        <v>447</v>
      </c>
      <c r="H366" s="34">
        <v>8</v>
      </c>
      <c r="I366" s="50">
        <v>65.5</v>
      </c>
      <c r="J366" s="1">
        <f t="shared" si="5"/>
        <v>1048</v>
      </c>
      <c r="K366">
        <f>J366*Emission_factor!$C$48</f>
        <v>621.25440000000003</v>
      </c>
    </row>
    <row r="367" spans="1:11" x14ac:dyDescent="0.25">
      <c r="A367" s="1">
        <v>366</v>
      </c>
      <c r="B367" s="1" t="s">
        <v>72</v>
      </c>
      <c r="C367" s="1" t="s">
        <v>412</v>
      </c>
      <c r="D367" s="1" t="s">
        <v>151</v>
      </c>
      <c r="E367" s="1">
        <v>2023</v>
      </c>
      <c r="F367" s="37" t="s">
        <v>450</v>
      </c>
      <c r="G367" s="37" t="s">
        <v>451</v>
      </c>
      <c r="H367" s="34">
        <v>15</v>
      </c>
      <c r="I367" s="50">
        <v>45.7</v>
      </c>
      <c r="J367" s="1">
        <f t="shared" si="5"/>
        <v>1371</v>
      </c>
      <c r="K367">
        <f>J367*Emission_factor!$C$48</f>
        <v>812.72879999999998</v>
      </c>
    </row>
    <row r="368" spans="1:11" x14ac:dyDescent="0.25">
      <c r="A368" s="1">
        <v>367</v>
      </c>
      <c r="B368" s="1" t="s">
        <v>72</v>
      </c>
      <c r="C368" s="1" t="s">
        <v>412</v>
      </c>
      <c r="D368" s="1" t="s">
        <v>152</v>
      </c>
      <c r="E368" s="1">
        <v>2023</v>
      </c>
      <c r="F368" s="26" t="s">
        <v>436</v>
      </c>
      <c r="G368" s="26" t="s">
        <v>437</v>
      </c>
      <c r="H368" s="26">
        <v>2</v>
      </c>
      <c r="I368" s="49">
        <v>73</v>
      </c>
      <c r="J368" s="1">
        <f t="shared" si="5"/>
        <v>292</v>
      </c>
      <c r="K368">
        <f>J368*Emission_factor!$C$48</f>
        <v>173.0976</v>
      </c>
    </row>
    <row r="369" spans="1:11" x14ac:dyDescent="0.25">
      <c r="A369" s="1">
        <v>368</v>
      </c>
      <c r="B369" s="1" t="s">
        <v>72</v>
      </c>
      <c r="C369" s="1" t="s">
        <v>412</v>
      </c>
      <c r="D369" s="1" t="s">
        <v>152</v>
      </c>
      <c r="E369" s="1">
        <v>2023</v>
      </c>
      <c r="F369" s="26" t="s">
        <v>436</v>
      </c>
      <c r="G369" s="26" t="s">
        <v>437</v>
      </c>
      <c r="H369" s="26">
        <v>31</v>
      </c>
      <c r="I369" s="49">
        <v>73</v>
      </c>
      <c r="J369" s="1">
        <f t="shared" si="5"/>
        <v>4526</v>
      </c>
      <c r="K369">
        <f>J369*Emission_factor!$C$48</f>
        <v>2683.0128</v>
      </c>
    </row>
    <row r="370" spans="1:11" x14ac:dyDescent="0.25">
      <c r="A370" s="1">
        <v>369</v>
      </c>
      <c r="B370" s="1" t="s">
        <v>72</v>
      </c>
      <c r="C370" s="1" t="s">
        <v>412</v>
      </c>
      <c r="D370" s="1" t="s">
        <v>152</v>
      </c>
      <c r="E370" s="1">
        <v>2023</v>
      </c>
      <c r="F370" s="26" t="s">
        <v>422</v>
      </c>
      <c r="G370" s="26" t="s">
        <v>423</v>
      </c>
      <c r="H370" s="26">
        <v>16</v>
      </c>
      <c r="I370" s="49">
        <v>47.1</v>
      </c>
      <c r="J370" s="1">
        <f t="shared" si="5"/>
        <v>1507.2</v>
      </c>
      <c r="K370">
        <f>J370*Emission_factor!$C$48</f>
        <v>893.46816000000001</v>
      </c>
    </row>
    <row r="371" spans="1:11" x14ac:dyDescent="0.25">
      <c r="A371" s="1">
        <v>370</v>
      </c>
      <c r="B371" s="1" t="s">
        <v>72</v>
      </c>
      <c r="C371" s="1" t="s">
        <v>412</v>
      </c>
      <c r="D371" s="1" t="s">
        <v>152</v>
      </c>
      <c r="E371" s="1">
        <v>2023</v>
      </c>
      <c r="F371" s="26" t="s">
        <v>422</v>
      </c>
      <c r="G371" s="26" t="s">
        <v>423</v>
      </c>
      <c r="H371" s="26">
        <v>84</v>
      </c>
      <c r="I371" s="49">
        <v>47.1</v>
      </c>
      <c r="J371" s="1">
        <f t="shared" si="5"/>
        <v>7912.8</v>
      </c>
      <c r="K371">
        <f>J371*Emission_factor!$C$48</f>
        <v>4690.70784</v>
      </c>
    </row>
    <row r="372" spans="1:11" x14ac:dyDescent="0.25">
      <c r="A372" s="1">
        <v>371</v>
      </c>
      <c r="B372" s="1" t="s">
        <v>72</v>
      </c>
      <c r="C372" s="1" t="s">
        <v>412</v>
      </c>
      <c r="D372" s="1" t="s">
        <v>152</v>
      </c>
      <c r="E372" s="1">
        <v>2023</v>
      </c>
      <c r="F372" s="26" t="s">
        <v>435</v>
      </c>
      <c r="G372" s="26" t="s">
        <v>457</v>
      </c>
      <c r="H372" s="26">
        <v>8</v>
      </c>
      <c r="I372" s="49">
        <v>34.1</v>
      </c>
      <c r="J372" s="1">
        <f t="shared" si="5"/>
        <v>545.6</v>
      </c>
      <c r="K372">
        <f>J372*Emission_factor!$C$48</f>
        <v>323.43168000000003</v>
      </c>
    </row>
    <row r="373" spans="1:11" x14ac:dyDescent="0.25">
      <c r="A373" s="1">
        <v>372</v>
      </c>
      <c r="B373" s="1" t="s">
        <v>72</v>
      </c>
      <c r="C373" s="1" t="s">
        <v>412</v>
      </c>
      <c r="D373" s="1" t="s">
        <v>152</v>
      </c>
      <c r="E373" s="1">
        <v>2023</v>
      </c>
      <c r="F373" s="26" t="s">
        <v>436</v>
      </c>
      <c r="G373" s="26" t="s">
        <v>437</v>
      </c>
      <c r="H373" s="26">
        <v>16</v>
      </c>
      <c r="I373" s="49">
        <v>73</v>
      </c>
      <c r="J373" s="1">
        <f t="shared" si="5"/>
        <v>2336</v>
      </c>
      <c r="K373">
        <f>J373*Emission_factor!$C$48</f>
        <v>1384.7808</v>
      </c>
    </row>
    <row r="374" spans="1:11" x14ac:dyDescent="0.25">
      <c r="A374" s="1">
        <v>373</v>
      </c>
      <c r="B374" s="1" t="s">
        <v>72</v>
      </c>
      <c r="C374" s="1" t="s">
        <v>412</v>
      </c>
      <c r="D374" s="1" t="s">
        <v>152</v>
      </c>
      <c r="E374" s="1">
        <v>2023</v>
      </c>
      <c r="F374" s="26" t="s">
        <v>428</v>
      </c>
      <c r="G374" s="26" t="s">
        <v>429</v>
      </c>
      <c r="H374" s="26">
        <v>83</v>
      </c>
      <c r="I374" s="52">
        <v>29.4</v>
      </c>
      <c r="J374" s="1">
        <f t="shared" si="5"/>
        <v>4880.3999999999996</v>
      </c>
      <c r="K374">
        <f>J374*Emission_factor!$C$48</f>
        <v>2893.1011199999998</v>
      </c>
    </row>
    <row r="375" spans="1:11" x14ac:dyDescent="0.25">
      <c r="A375" s="1">
        <v>374</v>
      </c>
      <c r="B375" s="1" t="s">
        <v>72</v>
      </c>
      <c r="C375" s="1" t="s">
        <v>412</v>
      </c>
      <c r="D375" s="1" t="s">
        <v>152</v>
      </c>
      <c r="E375" s="1">
        <v>2023</v>
      </c>
      <c r="F375" s="26" t="s">
        <v>442</v>
      </c>
      <c r="G375" s="26" t="s">
        <v>443</v>
      </c>
      <c r="H375" s="26">
        <v>8</v>
      </c>
      <c r="I375" s="49">
        <v>102</v>
      </c>
      <c r="J375" s="1">
        <f t="shared" si="5"/>
        <v>1632</v>
      </c>
      <c r="K375">
        <f>J375*Emission_factor!$C$48</f>
        <v>967.44960000000003</v>
      </c>
    </row>
    <row r="376" spans="1:11" x14ac:dyDescent="0.25">
      <c r="A376" s="1">
        <v>375</v>
      </c>
      <c r="B376" s="1" t="s">
        <v>72</v>
      </c>
      <c r="C376" s="1" t="s">
        <v>412</v>
      </c>
      <c r="D376" s="1" t="s">
        <v>152</v>
      </c>
      <c r="E376" s="1">
        <v>2023</v>
      </c>
      <c r="F376" s="26" t="s">
        <v>422</v>
      </c>
      <c r="G376" s="26" t="s">
        <v>423</v>
      </c>
      <c r="H376" s="26">
        <v>41</v>
      </c>
      <c r="I376" s="49">
        <v>47.1</v>
      </c>
      <c r="J376" s="1">
        <f t="shared" si="5"/>
        <v>3862.2000000000003</v>
      </c>
      <c r="K376">
        <f>J376*Emission_factor!$C$48</f>
        <v>2289.5121600000002</v>
      </c>
    </row>
    <row r="377" spans="1:11" x14ac:dyDescent="0.25">
      <c r="A377" s="1">
        <v>376</v>
      </c>
      <c r="B377" s="1" t="s">
        <v>72</v>
      </c>
      <c r="C377" s="1" t="s">
        <v>412</v>
      </c>
      <c r="D377" s="1" t="s">
        <v>152</v>
      </c>
      <c r="E377" s="1">
        <v>2023</v>
      </c>
      <c r="F377" s="26" t="s">
        <v>452</v>
      </c>
      <c r="G377" s="26" t="s">
        <v>453</v>
      </c>
      <c r="H377" s="26">
        <v>99</v>
      </c>
      <c r="I377" s="49">
        <v>76.099999999999994</v>
      </c>
      <c r="J377" s="1">
        <f t="shared" si="5"/>
        <v>15067.8</v>
      </c>
      <c r="K377">
        <f>J377*Emission_factor!$C$48</f>
        <v>8932.1918399999995</v>
      </c>
    </row>
    <row r="378" spans="1:11" x14ac:dyDescent="0.25">
      <c r="A378" s="1">
        <v>377</v>
      </c>
      <c r="B378" s="1" t="s">
        <v>72</v>
      </c>
      <c r="C378" s="1" t="s">
        <v>412</v>
      </c>
      <c r="D378" s="1" t="s">
        <v>152</v>
      </c>
      <c r="E378" s="1">
        <v>2023</v>
      </c>
      <c r="F378" s="26" t="s">
        <v>433</v>
      </c>
      <c r="G378" s="26" t="s">
        <v>420</v>
      </c>
      <c r="H378" s="26">
        <v>8</v>
      </c>
      <c r="I378" s="49">
        <v>96</v>
      </c>
      <c r="J378" s="1">
        <f t="shared" si="5"/>
        <v>1536</v>
      </c>
      <c r="K378">
        <f>J378*Emission_factor!$C$48</f>
        <v>910.54079999999999</v>
      </c>
    </row>
    <row r="379" spans="1:11" x14ac:dyDescent="0.25">
      <c r="A379" s="1">
        <v>378</v>
      </c>
      <c r="B379" s="1" t="s">
        <v>72</v>
      </c>
      <c r="C379" s="1" t="s">
        <v>412</v>
      </c>
      <c r="D379" s="1" t="s">
        <v>152</v>
      </c>
      <c r="E379" s="1">
        <v>2023</v>
      </c>
      <c r="F379" s="26" t="s">
        <v>428</v>
      </c>
      <c r="G379" s="26" t="s">
        <v>429</v>
      </c>
      <c r="H379" s="26">
        <v>1</v>
      </c>
      <c r="I379" s="49">
        <v>29.4</v>
      </c>
      <c r="J379" s="1">
        <f t="shared" si="5"/>
        <v>58.8</v>
      </c>
      <c r="K379">
        <f>J379*Emission_factor!$C$48</f>
        <v>34.856639999999999</v>
      </c>
    </row>
    <row r="380" spans="1:11" x14ac:dyDescent="0.25">
      <c r="A380" s="1">
        <v>379</v>
      </c>
      <c r="B380" s="1" t="s">
        <v>72</v>
      </c>
      <c r="C380" s="1" t="s">
        <v>412</v>
      </c>
      <c r="D380" s="1" t="s">
        <v>152</v>
      </c>
      <c r="E380" s="1">
        <v>2023</v>
      </c>
      <c r="F380" s="26" t="s">
        <v>438</v>
      </c>
      <c r="G380" s="26" t="s">
        <v>439</v>
      </c>
      <c r="H380" s="26">
        <v>50</v>
      </c>
      <c r="I380" s="49">
        <v>67.3</v>
      </c>
      <c r="J380" s="1">
        <f t="shared" si="5"/>
        <v>6730</v>
      </c>
      <c r="K380">
        <f>J380*Emission_factor!$C$48</f>
        <v>3989.5439999999999</v>
      </c>
    </row>
    <row r="381" spans="1:11" x14ac:dyDescent="0.25">
      <c r="A381" s="1">
        <v>380</v>
      </c>
      <c r="B381" s="1" t="s">
        <v>72</v>
      </c>
      <c r="C381" s="1" t="s">
        <v>412</v>
      </c>
      <c r="D381" s="1" t="s">
        <v>152</v>
      </c>
      <c r="E381" s="1">
        <v>2023</v>
      </c>
      <c r="F381" s="26" t="s">
        <v>422</v>
      </c>
      <c r="G381" s="26" t="s">
        <v>423</v>
      </c>
      <c r="H381" s="26">
        <v>1</v>
      </c>
      <c r="I381" s="49">
        <v>47.1</v>
      </c>
      <c r="J381" s="1">
        <f t="shared" si="5"/>
        <v>94.2</v>
      </c>
      <c r="K381">
        <f>J381*Emission_factor!$C$48</f>
        <v>55.841760000000001</v>
      </c>
    </row>
    <row r="382" spans="1:11" x14ac:dyDescent="0.25">
      <c r="A382" s="1">
        <v>381</v>
      </c>
      <c r="B382" s="1" t="s">
        <v>72</v>
      </c>
      <c r="C382" s="1" t="s">
        <v>412</v>
      </c>
      <c r="D382" s="1" t="s">
        <v>152</v>
      </c>
      <c r="E382" s="1">
        <v>2023</v>
      </c>
      <c r="F382" s="26" t="s">
        <v>452</v>
      </c>
      <c r="G382" s="26" t="s">
        <v>453</v>
      </c>
      <c r="H382" s="26">
        <v>41</v>
      </c>
      <c r="I382" s="49">
        <v>76.099999999999994</v>
      </c>
      <c r="J382" s="1">
        <f t="shared" si="5"/>
        <v>6240.2</v>
      </c>
      <c r="K382">
        <f>J382*Emission_factor!$C$48</f>
        <v>3699.19056</v>
      </c>
    </row>
    <row r="383" spans="1:11" x14ac:dyDescent="0.25">
      <c r="A383" s="1">
        <v>382</v>
      </c>
      <c r="B383" s="1" t="s">
        <v>72</v>
      </c>
      <c r="C383" s="1" t="s">
        <v>412</v>
      </c>
      <c r="D383" s="1" t="s">
        <v>152</v>
      </c>
      <c r="E383" s="1">
        <v>2023</v>
      </c>
      <c r="F383" s="26" t="s">
        <v>458</v>
      </c>
      <c r="G383" s="26" t="s">
        <v>459</v>
      </c>
      <c r="H383" s="26">
        <v>50</v>
      </c>
      <c r="I383" s="49">
        <v>77.5</v>
      </c>
      <c r="J383" s="1">
        <f t="shared" si="5"/>
        <v>7750</v>
      </c>
      <c r="K383">
        <f>J383*Emission_factor!$C$48</f>
        <v>4594.2</v>
      </c>
    </row>
    <row r="384" spans="1:11" x14ac:dyDescent="0.25">
      <c r="A384" s="1">
        <v>383</v>
      </c>
      <c r="B384" s="1" t="s">
        <v>72</v>
      </c>
      <c r="C384" s="1" t="s">
        <v>412</v>
      </c>
      <c r="D384" s="1" t="s">
        <v>152</v>
      </c>
      <c r="E384" s="1">
        <v>2023</v>
      </c>
      <c r="F384" s="26" t="s">
        <v>438</v>
      </c>
      <c r="G384" s="26" t="s">
        <v>439</v>
      </c>
      <c r="H384" s="26">
        <v>34</v>
      </c>
      <c r="I384" s="49">
        <v>67.3</v>
      </c>
      <c r="J384" s="1">
        <f t="shared" si="5"/>
        <v>4576.3999999999996</v>
      </c>
      <c r="K384">
        <f>J384*Emission_factor!$C$48</f>
        <v>2712.8899199999996</v>
      </c>
    </row>
    <row r="385" spans="1:11" x14ac:dyDescent="0.25">
      <c r="A385" s="1">
        <v>384</v>
      </c>
      <c r="B385" s="1" t="s">
        <v>72</v>
      </c>
      <c r="C385" s="1" t="s">
        <v>412</v>
      </c>
      <c r="D385" s="1" t="s">
        <v>152</v>
      </c>
      <c r="E385" s="1">
        <v>2023</v>
      </c>
      <c r="F385" s="26" t="s">
        <v>452</v>
      </c>
      <c r="G385" s="26" t="s">
        <v>453</v>
      </c>
      <c r="H385" s="26">
        <v>72</v>
      </c>
      <c r="I385" s="49">
        <v>76.099999999999994</v>
      </c>
      <c r="J385" s="1">
        <f t="shared" si="5"/>
        <v>10958.4</v>
      </c>
      <c r="K385">
        <f>J385*Emission_factor!$C$48</f>
        <v>6496.1395199999997</v>
      </c>
    </row>
    <row r="386" spans="1:11" x14ac:dyDescent="0.25">
      <c r="A386" s="1">
        <v>385</v>
      </c>
      <c r="B386" s="1" t="s">
        <v>72</v>
      </c>
      <c r="C386" s="1" t="s">
        <v>412</v>
      </c>
      <c r="D386" s="1" t="s">
        <v>152</v>
      </c>
      <c r="E386" s="1">
        <v>2023</v>
      </c>
      <c r="F386" s="26" t="s">
        <v>458</v>
      </c>
      <c r="G386" s="26" t="s">
        <v>459</v>
      </c>
      <c r="H386" s="26">
        <v>50</v>
      </c>
      <c r="I386" s="49">
        <v>77.5</v>
      </c>
      <c r="J386" s="1">
        <f t="shared" si="5"/>
        <v>7750</v>
      </c>
      <c r="K386">
        <f>J386*Emission_factor!$C$48</f>
        <v>4594.2</v>
      </c>
    </row>
    <row r="387" spans="1:11" x14ac:dyDescent="0.25">
      <c r="A387" s="1">
        <v>386</v>
      </c>
      <c r="B387" s="1" t="s">
        <v>72</v>
      </c>
      <c r="C387" s="1" t="s">
        <v>412</v>
      </c>
      <c r="D387" s="1" t="s">
        <v>152</v>
      </c>
      <c r="E387" s="1">
        <v>2023</v>
      </c>
      <c r="F387" s="26" t="s">
        <v>446</v>
      </c>
      <c r="G387" s="26" t="s">
        <v>447</v>
      </c>
      <c r="H387" s="26">
        <v>8</v>
      </c>
      <c r="I387" s="49">
        <v>65.5</v>
      </c>
      <c r="J387" s="1">
        <f t="shared" ref="J387:J450" si="6">H387*I387*2</f>
        <v>1048</v>
      </c>
      <c r="K387">
        <f>J387*Emission_factor!$C$48</f>
        <v>621.25440000000003</v>
      </c>
    </row>
    <row r="388" spans="1:11" x14ac:dyDescent="0.25">
      <c r="A388" s="1">
        <v>387</v>
      </c>
      <c r="B388" s="1" t="s">
        <v>72</v>
      </c>
      <c r="C388" s="1" t="s">
        <v>412</v>
      </c>
      <c r="D388" s="1" t="s">
        <v>152</v>
      </c>
      <c r="E388" s="1">
        <v>2023</v>
      </c>
      <c r="F388" s="26" t="s">
        <v>458</v>
      </c>
      <c r="G388" s="26" t="s">
        <v>459</v>
      </c>
      <c r="H388" s="26">
        <v>27</v>
      </c>
      <c r="I388" s="49">
        <v>77.5</v>
      </c>
      <c r="J388" s="1">
        <f t="shared" si="6"/>
        <v>4185</v>
      </c>
      <c r="K388">
        <f>J388*Emission_factor!$C$48</f>
        <v>2480.8679999999999</v>
      </c>
    </row>
    <row r="389" spans="1:11" x14ac:dyDescent="0.25">
      <c r="A389" s="1">
        <v>388</v>
      </c>
      <c r="B389" s="1" t="s">
        <v>72</v>
      </c>
      <c r="C389" s="1" t="s">
        <v>412</v>
      </c>
      <c r="D389" s="1" t="s">
        <v>152</v>
      </c>
      <c r="E389" s="1">
        <v>2023</v>
      </c>
      <c r="F389" s="26" t="s">
        <v>450</v>
      </c>
      <c r="G389" s="26" t="s">
        <v>451</v>
      </c>
      <c r="H389" s="26">
        <v>2</v>
      </c>
      <c r="I389" s="49">
        <v>55.7</v>
      </c>
      <c r="J389" s="1">
        <f t="shared" si="6"/>
        <v>222.8</v>
      </c>
      <c r="K389">
        <f>J389*Emission_factor!$C$48</f>
        <v>132.07584</v>
      </c>
    </row>
    <row r="390" spans="1:11" x14ac:dyDescent="0.25">
      <c r="A390" s="1">
        <v>389</v>
      </c>
      <c r="B390" s="1" t="s">
        <v>72</v>
      </c>
      <c r="C390" s="1" t="s">
        <v>412</v>
      </c>
      <c r="D390" s="1" t="s">
        <v>152</v>
      </c>
      <c r="E390" s="1">
        <v>2023</v>
      </c>
      <c r="F390" s="26" t="s">
        <v>422</v>
      </c>
      <c r="G390" s="26" t="s">
        <v>423</v>
      </c>
      <c r="H390" s="26">
        <v>42</v>
      </c>
      <c r="I390" s="49">
        <v>47.1</v>
      </c>
      <c r="J390" s="1">
        <f t="shared" si="6"/>
        <v>3956.4</v>
      </c>
      <c r="K390">
        <f>J390*Emission_factor!$C$48</f>
        <v>2345.35392</v>
      </c>
    </row>
    <row r="391" spans="1:11" x14ac:dyDescent="0.25">
      <c r="A391" s="1">
        <v>390</v>
      </c>
      <c r="B391" s="1" t="s">
        <v>72</v>
      </c>
      <c r="C391" s="1" t="s">
        <v>412</v>
      </c>
      <c r="D391" s="1" t="s">
        <v>152</v>
      </c>
      <c r="E391" s="1">
        <v>2023</v>
      </c>
      <c r="F391" s="26" t="s">
        <v>428</v>
      </c>
      <c r="G391" s="26" t="s">
        <v>429</v>
      </c>
      <c r="H391" s="26">
        <v>78</v>
      </c>
      <c r="I391" s="49">
        <v>29.4</v>
      </c>
      <c r="J391" s="1">
        <f t="shared" si="6"/>
        <v>4586.3999999999996</v>
      </c>
      <c r="K391">
        <f>J391*Emission_factor!$C$48</f>
        <v>2718.81792</v>
      </c>
    </row>
    <row r="392" spans="1:11" x14ac:dyDescent="0.25">
      <c r="A392" s="1">
        <v>391</v>
      </c>
      <c r="B392" s="1" t="s">
        <v>72</v>
      </c>
      <c r="C392" s="1" t="s">
        <v>412</v>
      </c>
      <c r="D392" s="1" t="s">
        <v>152</v>
      </c>
      <c r="E392" s="1">
        <v>2023</v>
      </c>
      <c r="F392" s="26" t="s">
        <v>428</v>
      </c>
      <c r="G392" s="26" t="s">
        <v>429</v>
      </c>
      <c r="H392" s="26">
        <v>1</v>
      </c>
      <c r="I392" s="49">
        <v>29.4</v>
      </c>
      <c r="J392" s="1">
        <f t="shared" si="6"/>
        <v>58.8</v>
      </c>
      <c r="K392">
        <f>J392*Emission_factor!$C$48</f>
        <v>34.856639999999999</v>
      </c>
    </row>
    <row r="393" spans="1:11" x14ac:dyDescent="0.25">
      <c r="A393" s="1">
        <v>392</v>
      </c>
      <c r="B393" s="1" t="s">
        <v>72</v>
      </c>
      <c r="C393" s="1" t="s">
        <v>412</v>
      </c>
      <c r="D393" s="1" t="s">
        <v>152</v>
      </c>
      <c r="E393" s="1">
        <v>2023</v>
      </c>
      <c r="F393" s="26" t="s">
        <v>452</v>
      </c>
      <c r="G393" s="26" t="s">
        <v>453</v>
      </c>
      <c r="H393" s="26">
        <v>100</v>
      </c>
      <c r="I393" s="49">
        <v>76.099999999999994</v>
      </c>
      <c r="J393" s="1">
        <f t="shared" si="6"/>
        <v>15219.999999999998</v>
      </c>
      <c r="K393">
        <f>J393*Emission_factor!$C$48</f>
        <v>9022.4159999999993</v>
      </c>
    </row>
    <row r="394" spans="1:11" x14ac:dyDescent="0.25">
      <c r="A394" s="1">
        <v>393</v>
      </c>
      <c r="B394" s="1" t="s">
        <v>72</v>
      </c>
      <c r="C394" s="1" t="s">
        <v>412</v>
      </c>
      <c r="D394" s="1" t="s">
        <v>152</v>
      </c>
      <c r="E394" s="1">
        <v>2023</v>
      </c>
      <c r="F394" s="26" t="s">
        <v>413</v>
      </c>
      <c r="G394" s="26" t="s">
        <v>417</v>
      </c>
      <c r="H394" s="26">
        <v>16</v>
      </c>
      <c r="I394" s="49">
        <v>28.1</v>
      </c>
      <c r="J394" s="1">
        <f t="shared" si="6"/>
        <v>899.2</v>
      </c>
      <c r="K394">
        <f>J394*Emission_factor!$C$48</f>
        <v>533.04575999999997</v>
      </c>
    </row>
    <row r="395" spans="1:11" x14ac:dyDescent="0.25">
      <c r="A395" s="1">
        <v>394</v>
      </c>
      <c r="B395" s="1" t="s">
        <v>72</v>
      </c>
      <c r="C395" s="1" t="s">
        <v>412</v>
      </c>
      <c r="D395" s="1" t="s">
        <v>152</v>
      </c>
      <c r="E395" s="1">
        <v>2023</v>
      </c>
      <c r="F395" s="26" t="s">
        <v>435</v>
      </c>
      <c r="G395" s="26" t="s">
        <v>457</v>
      </c>
      <c r="H395" s="26">
        <v>8</v>
      </c>
      <c r="I395" s="49">
        <v>34.1</v>
      </c>
      <c r="J395" s="1">
        <f t="shared" si="6"/>
        <v>545.6</v>
      </c>
      <c r="K395">
        <f>J395*Emission_factor!$C$48</f>
        <v>323.43168000000003</v>
      </c>
    </row>
    <row r="396" spans="1:11" x14ac:dyDescent="0.25">
      <c r="A396" s="1">
        <v>395</v>
      </c>
      <c r="B396" s="1" t="s">
        <v>72</v>
      </c>
      <c r="C396" s="1" t="s">
        <v>412</v>
      </c>
      <c r="D396" s="1" t="s">
        <v>152</v>
      </c>
      <c r="E396" s="1">
        <v>2023</v>
      </c>
      <c r="F396" s="26" t="s">
        <v>452</v>
      </c>
      <c r="G396" s="26" t="s">
        <v>453</v>
      </c>
      <c r="H396" s="26">
        <v>99</v>
      </c>
      <c r="I396" s="49">
        <v>76.099999999999994</v>
      </c>
      <c r="J396" s="1">
        <f t="shared" si="6"/>
        <v>15067.8</v>
      </c>
      <c r="K396">
        <f>J396*Emission_factor!$C$48</f>
        <v>8932.1918399999995</v>
      </c>
    </row>
    <row r="397" spans="1:11" x14ac:dyDescent="0.25">
      <c r="A397" s="1">
        <v>396</v>
      </c>
      <c r="B397" s="1" t="s">
        <v>72</v>
      </c>
      <c r="C397" s="1" t="s">
        <v>412</v>
      </c>
      <c r="D397" s="1" t="s">
        <v>152</v>
      </c>
      <c r="E397" s="1">
        <v>2023</v>
      </c>
      <c r="F397" s="26" t="s">
        <v>426</v>
      </c>
      <c r="G397" s="26" t="s">
        <v>427</v>
      </c>
      <c r="H397" s="26">
        <v>16</v>
      </c>
      <c r="I397" s="49">
        <v>168</v>
      </c>
      <c r="J397" s="1">
        <f t="shared" si="6"/>
        <v>5376</v>
      </c>
      <c r="K397">
        <f>J397*Emission_factor!$C$48</f>
        <v>3186.8928000000001</v>
      </c>
    </row>
    <row r="398" spans="1:11" x14ac:dyDescent="0.25">
      <c r="A398" s="1">
        <v>397</v>
      </c>
      <c r="B398" s="1" t="s">
        <v>72</v>
      </c>
      <c r="C398" s="1" t="s">
        <v>412</v>
      </c>
      <c r="D398" s="1" t="s">
        <v>152</v>
      </c>
      <c r="E398" s="1">
        <v>2023</v>
      </c>
      <c r="F398" s="26" t="s">
        <v>452</v>
      </c>
      <c r="G398" s="26" t="s">
        <v>453</v>
      </c>
      <c r="H398" s="26">
        <v>1</v>
      </c>
      <c r="I398" s="49">
        <v>76.099999999999994</v>
      </c>
      <c r="J398" s="1">
        <f t="shared" si="6"/>
        <v>152.19999999999999</v>
      </c>
      <c r="K398">
        <f>J398*Emission_factor!$C$48</f>
        <v>90.224159999999998</v>
      </c>
    </row>
    <row r="399" spans="1:11" x14ac:dyDescent="0.25">
      <c r="A399" s="1">
        <v>398</v>
      </c>
      <c r="B399" s="1" t="s">
        <v>72</v>
      </c>
      <c r="C399" s="1" t="s">
        <v>412</v>
      </c>
      <c r="D399" s="1" t="s">
        <v>152</v>
      </c>
      <c r="E399" s="1">
        <v>2023</v>
      </c>
      <c r="F399" s="26" t="s">
        <v>413</v>
      </c>
      <c r="G399" s="26" t="s">
        <v>417</v>
      </c>
      <c r="H399" s="26">
        <v>27</v>
      </c>
      <c r="I399" s="49">
        <v>28.1</v>
      </c>
      <c r="J399" s="1">
        <f t="shared" si="6"/>
        <v>1517.4</v>
      </c>
      <c r="K399">
        <f>J399*Emission_factor!$C$48</f>
        <v>899.51472000000001</v>
      </c>
    </row>
    <row r="400" spans="1:11" x14ac:dyDescent="0.25">
      <c r="A400" s="1">
        <v>399</v>
      </c>
      <c r="B400" s="1" t="s">
        <v>72</v>
      </c>
      <c r="C400" s="1" t="s">
        <v>412</v>
      </c>
      <c r="D400" s="1" t="s">
        <v>152</v>
      </c>
      <c r="E400" s="1">
        <v>2023</v>
      </c>
      <c r="F400" s="26" t="s">
        <v>436</v>
      </c>
      <c r="G400" s="26" t="s">
        <v>437</v>
      </c>
      <c r="H400" s="26">
        <v>42</v>
      </c>
      <c r="I400" s="49">
        <v>73</v>
      </c>
      <c r="J400" s="1">
        <f t="shared" si="6"/>
        <v>6132</v>
      </c>
      <c r="K400">
        <f>J400*Emission_factor!$C$48</f>
        <v>3635.0495999999998</v>
      </c>
    </row>
    <row r="401" spans="1:11" x14ac:dyDescent="0.25">
      <c r="A401" s="1">
        <v>400</v>
      </c>
      <c r="B401" s="1" t="s">
        <v>72</v>
      </c>
      <c r="C401" s="1" t="s">
        <v>412</v>
      </c>
      <c r="D401" s="1" t="s">
        <v>152</v>
      </c>
      <c r="E401" s="1">
        <v>2023</v>
      </c>
      <c r="F401" s="26" t="s">
        <v>422</v>
      </c>
      <c r="G401" s="26" t="s">
        <v>423</v>
      </c>
      <c r="H401" s="26">
        <v>74</v>
      </c>
      <c r="I401" s="49">
        <v>47.1</v>
      </c>
      <c r="J401" s="1">
        <f t="shared" si="6"/>
        <v>6970.8</v>
      </c>
      <c r="K401">
        <f>J401*Emission_factor!$C$48</f>
        <v>4132.2902400000003</v>
      </c>
    </row>
    <row r="402" spans="1:11" x14ac:dyDescent="0.25">
      <c r="A402" s="1">
        <v>401</v>
      </c>
      <c r="B402" s="1" t="s">
        <v>72</v>
      </c>
      <c r="C402" s="1" t="s">
        <v>412</v>
      </c>
      <c r="D402" s="1" t="s">
        <v>152</v>
      </c>
      <c r="E402" s="1">
        <v>2023</v>
      </c>
      <c r="F402" s="26" t="s">
        <v>413</v>
      </c>
      <c r="G402" s="26" t="s">
        <v>417</v>
      </c>
      <c r="H402" s="26">
        <v>1</v>
      </c>
      <c r="I402" s="49">
        <v>28.1</v>
      </c>
      <c r="J402" s="1">
        <f t="shared" si="6"/>
        <v>56.2</v>
      </c>
      <c r="K402">
        <f>J402*Emission_factor!$C$48</f>
        <v>33.315359999999998</v>
      </c>
    </row>
    <row r="403" spans="1:11" x14ac:dyDescent="0.25">
      <c r="A403" s="1">
        <v>402</v>
      </c>
      <c r="B403" s="1" t="s">
        <v>72</v>
      </c>
      <c r="C403" s="1" t="s">
        <v>412</v>
      </c>
      <c r="D403" s="1" t="s">
        <v>152</v>
      </c>
      <c r="E403" s="1">
        <v>2023</v>
      </c>
      <c r="F403" s="26" t="s">
        <v>444</v>
      </c>
      <c r="G403" s="26" t="s">
        <v>445</v>
      </c>
      <c r="H403" s="26">
        <v>50</v>
      </c>
      <c r="I403" s="49">
        <v>81.3</v>
      </c>
      <c r="J403" s="1">
        <f t="shared" si="6"/>
        <v>8130</v>
      </c>
      <c r="K403">
        <f>J403*Emission_factor!$C$48</f>
        <v>4819.4639999999999</v>
      </c>
    </row>
    <row r="404" spans="1:11" x14ac:dyDescent="0.25">
      <c r="A404" s="1">
        <v>403</v>
      </c>
      <c r="B404" s="1" t="s">
        <v>72</v>
      </c>
      <c r="C404" s="1" t="s">
        <v>412</v>
      </c>
      <c r="D404" s="1" t="s">
        <v>152</v>
      </c>
      <c r="E404" s="1">
        <v>2023</v>
      </c>
      <c r="F404" s="26" t="s">
        <v>426</v>
      </c>
      <c r="G404" s="26" t="s">
        <v>427</v>
      </c>
      <c r="H404" s="26">
        <v>16</v>
      </c>
      <c r="I404" s="49">
        <v>168</v>
      </c>
      <c r="J404" s="1">
        <f t="shared" si="6"/>
        <v>5376</v>
      </c>
      <c r="K404">
        <f>J404*Emission_factor!$C$48</f>
        <v>3186.8928000000001</v>
      </c>
    </row>
    <row r="405" spans="1:11" x14ac:dyDescent="0.25">
      <c r="A405" s="1">
        <v>404</v>
      </c>
      <c r="B405" s="1" t="s">
        <v>72</v>
      </c>
      <c r="C405" s="1" t="s">
        <v>412</v>
      </c>
      <c r="D405" s="1" t="s">
        <v>152</v>
      </c>
      <c r="E405" s="1">
        <v>2023</v>
      </c>
      <c r="F405" s="26" t="s">
        <v>422</v>
      </c>
      <c r="G405" s="26" t="s">
        <v>423</v>
      </c>
      <c r="H405" s="26">
        <v>53</v>
      </c>
      <c r="I405" s="49">
        <v>47.1</v>
      </c>
      <c r="J405" s="1">
        <f t="shared" si="6"/>
        <v>4992.6000000000004</v>
      </c>
      <c r="K405">
        <f>J405*Emission_factor!$C$48</f>
        <v>2959.61328</v>
      </c>
    </row>
    <row r="406" spans="1:11" x14ac:dyDescent="0.25">
      <c r="A406" s="1">
        <v>405</v>
      </c>
      <c r="B406" s="1" t="s">
        <v>72</v>
      </c>
      <c r="C406" s="1" t="s">
        <v>412</v>
      </c>
      <c r="D406" s="1" t="s">
        <v>152</v>
      </c>
      <c r="E406" s="1">
        <v>2023</v>
      </c>
      <c r="F406" s="26" t="s">
        <v>413</v>
      </c>
      <c r="G406" s="26" t="s">
        <v>417</v>
      </c>
      <c r="H406" s="26">
        <v>1</v>
      </c>
      <c r="I406" s="49">
        <v>28.1</v>
      </c>
      <c r="J406" s="1">
        <f t="shared" si="6"/>
        <v>56.2</v>
      </c>
      <c r="K406">
        <f>J406*Emission_factor!$C$48</f>
        <v>33.315359999999998</v>
      </c>
    </row>
    <row r="407" spans="1:11" x14ac:dyDescent="0.25">
      <c r="A407" s="1">
        <v>406</v>
      </c>
      <c r="B407" s="1" t="s">
        <v>72</v>
      </c>
      <c r="C407" s="1" t="s">
        <v>412</v>
      </c>
      <c r="D407" s="1" t="s">
        <v>152</v>
      </c>
      <c r="E407" s="1">
        <v>2023</v>
      </c>
      <c r="F407" s="26" t="s">
        <v>460</v>
      </c>
      <c r="G407" s="26" t="s">
        <v>461</v>
      </c>
      <c r="H407" s="26">
        <v>80</v>
      </c>
      <c r="I407" s="49">
        <v>68.400000000000006</v>
      </c>
      <c r="J407" s="1">
        <f t="shared" si="6"/>
        <v>10944</v>
      </c>
      <c r="K407">
        <f>J407*Emission_factor!$C$48</f>
        <v>6487.6031999999996</v>
      </c>
    </row>
    <row r="408" spans="1:11" x14ac:dyDescent="0.25">
      <c r="A408" s="1">
        <v>407</v>
      </c>
      <c r="B408" s="1" t="s">
        <v>72</v>
      </c>
      <c r="C408" s="1" t="s">
        <v>412</v>
      </c>
      <c r="D408" s="1" t="s">
        <v>152</v>
      </c>
      <c r="E408" s="1">
        <v>2023</v>
      </c>
      <c r="F408" s="26" t="s">
        <v>444</v>
      </c>
      <c r="G408" s="26" t="s">
        <v>445</v>
      </c>
      <c r="H408" s="26">
        <v>59</v>
      </c>
      <c r="I408" s="49">
        <v>81.3</v>
      </c>
      <c r="J408" s="1">
        <f t="shared" si="6"/>
        <v>9593.4</v>
      </c>
      <c r="K408">
        <f>J408*Emission_factor!$C$48</f>
        <v>5686.9675200000001</v>
      </c>
    </row>
    <row r="409" spans="1:11" x14ac:dyDescent="0.25">
      <c r="A409" s="1">
        <v>408</v>
      </c>
      <c r="B409" s="1" t="s">
        <v>72</v>
      </c>
      <c r="C409" s="1" t="s">
        <v>412</v>
      </c>
      <c r="D409" s="1" t="s">
        <v>152</v>
      </c>
      <c r="E409" s="1">
        <v>2023</v>
      </c>
      <c r="F409" s="26" t="s">
        <v>426</v>
      </c>
      <c r="G409" s="26" t="s">
        <v>427</v>
      </c>
      <c r="H409" s="26">
        <v>1</v>
      </c>
      <c r="I409" s="49">
        <v>168</v>
      </c>
      <c r="J409" s="1">
        <f t="shared" si="6"/>
        <v>336</v>
      </c>
      <c r="K409">
        <f>J409*Emission_factor!$C$48</f>
        <v>199.1808</v>
      </c>
    </row>
    <row r="410" spans="1:11" x14ac:dyDescent="0.25">
      <c r="A410" s="1">
        <v>409</v>
      </c>
      <c r="B410" s="1" t="s">
        <v>72</v>
      </c>
      <c r="C410" s="1" t="s">
        <v>412</v>
      </c>
      <c r="D410" s="1" t="s">
        <v>152</v>
      </c>
      <c r="E410" s="1">
        <v>2023</v>
      </c>
      <c r="F410" s="26" t="s">
        <v>460</v>
      </c>
      <c r="G410" s="26" t="s">
        <v>461</v>
      </c>
      <c r="H410" s="26">
        <v>38</v>
      </c>
      <c r="I410" s="49">
        <v>68.400000000000006</v>
      </c>
      <c r="J410" s="1">
        <f t="shared" si="6"/>
        <v>5198.4000000000005</v>
      </c>
      <c r="K410">
        <f>J410*Emission_factor!$C$48</f>
        <v>3081.6115200000004</v>
      </c>
    </row>
    <row r="411" spans="1:11" x14ac:dyDescent="0.25">
      <c r="A411" s="1">
        <v>410</v>
      </c>
      <c r="B411" s="1" t="s">
        <v>72</v>
      </c>
      <c r="C411" s="1" t="s">
        <v>412</v>
      </c>
      <c r="D411" s="1" t="s">
        <v>152</v>
      </c>
      <c r="E411" s="1">
        <v>2023</v>
      </c>
      <c r="F411" s="26" t="s">
        <v>426</v>
      </c>
      <c r="G411" s="26" t="s">
        <v>427</v>
      </c>
      <c r="H411" s="26">
        <v>1</v>
      </c>
      <c r="I411" s="49">
        <v>168</v>
      </c>
      <c r="J411" s="1">
        <f t="shared" si="6"/>
        <v>336</v>
      </c>
      <c r="K411">
        <f>J411*Emission_factor!$C$48</f>
        <v>199.1808</v>
      </c>
    </row>
    <row r="412" spans="1:11" x14ac:dyDescent="0.25">
      <c r="A412" s="1">
        <v>411</v>
      </c>
      <c r="B412" s="1" t="s">
        <v>72</v>
      </c>
      <c r="C412" s="1" t="s">
        <v>412</v>
      </c>
      <c r="D412" s="1" t="s">
        <v>152</v>
      </c>
      <c r="E412" s="1">
        <v>2023</v>
      </c>
      <c r="F412" s="26" t="s">
        <v>422</v>
      </c>
      <c r="G412" s="26" t="s">
        <v>423</v>
      </c>
      <c r="H412" s="26">
        <v>125</v>
      </c>
      <c r="I412" s="49">
        <v>47.1</v>
      </c>
      <c r="J412" s="1">
        <f t="shared" si="6"/>
        <v>11775</v>
      </c>
      <c r="K412">
        <f>J412*Emission_factor!$C$48</f>
        <v>6980.22</v>
      </c>
    </row>
    <row r="413" spans="1:11" x14ac:dyDescent="0.25">
      <c r="A413" s="1">
        <v>412</v>
      </c>
      <c r="B413" s="1" t="s">
        <v>72</v>
      </c>
      <c r="C413" s="1" t="s">
        <v>412</v>
      </c>
      <c r="D413" s="1" t="s">
        <v>152</v>
      </c>
      <c r="E413" s="1">
        <v>2023</v>
      </c>
      <c r="F413" s="26" t="s">
        <v>460</v>
      </c>
      <c r="G413" s="26" t="s">
        <v>461</v>
      </c>
      <c r="H413" s="26">
        <v>67</v>
      </c>
      <c r="I413" s="49">
        <v>68.400000000000006</v>
      </c>
      <c r="J413" s="1">
        <f t="shared" si="6"/>
        <v>9165.6</v>
      </c>
      <c r="K413">
        <f>J413*Emission_factor!$C$48</f>
        <v>5433.3676800000003</v>
      </c>
    </row>
    <row r="414" spans="1:11" x14ac:dyDescent="0.25">
      <c r="A414" s="1">
        <v>413</v>
      </c>
      <c r="B414" s="1" t="s">
        <v>72</v>
      </c>
      <c r="C414" s="1" t="s">
        <v>412</v>
      </c>
      <c r="D414" s="1" t="s">
        <v>152</v>
      </c>
      <c r="E414" s="1">
        <v>2023</v>
      </c>
      <c r="F414" s="26" t="s">
        <v>444</v>
      </c>
      <c r="G414" s="26" t="s">
        <v>445</v>
      </c>
      <c r="H414" s="26">
        <v>1</v>
      </c>
      <c r="I414" s="49">
        <v>81.3</v>
      </c>
      <c r="J414" s="1">
        <f t="shared" si="6"/>
        <v>162.6</v>
      </c>
      <c r="K414">
        <f>J414*Emission_factor!$C$48</f>
        <v>96.389279999999999</v>
      </c>
    </row>
    <row r="415" spans="1:11" x14ac:dyDescent="0.25">
      <c r="A415" s="1">
        <v>414</v>
      </c>
      <c r="B415" s="1" t="s">
        <v>72</v>
      </c>
      <c r="C415" s="1" t="s">
        <v>412</v>
      </c>
      <c r="D415" s="1" t="s">
        <v>152</v>
      </c>
      <c r="E415" s="1">
        <v>2023</v>
      </c>
      <c r="F415" s="26" t="s">
        <v>416</v>
      </c>
      <c r="G415" s="26" t="s">
        <v>421</v>
      </c>
      <c r="H415" s="26">
        <v>16</v>
      </c>
      <c r="I415" s="49">
        <v>51</v>
      </c>
      <c r="J415" s="1">
        <f t="shared" si="6"/>
        <v>1632</v>
      </c>
      <c r="K415">
        <f>J415*Emission_factor!$C$48</f>
        <v>967.44960000000003</v>
      </c>
    </row>
    <row r="416" spans="1:11" x14ac:dyDescent="0.25">
      <c r="A416" s="1">
        <v>415</v>
      </c>
      <c r="B416" s="1" t="s">
        <v>72</v>
      </c>
      <c r="C416" s="1" t="s">
        <v>412</v>
      </c>
      <c r="D416" s="1" t="s">
        <v>152</v>
      </c>
      <c r="E416" s="1">
        <v>2023</v>
      </c>
      <c r="F416" s="26" t="s">
        <v>436</v>
      </c>
      <c r="G416" s="26" t="s">
        <v>437</v>
      </c>
      <c r="H416" s="26">
        <v>25</v>
      </c>
      <c r="I416" s="49">
        <v>73</v>
      </c>
      <c r="J416" s="1">
        <f t="shared" si="6"/>
        <v>3650</v>
      </c>
      <c r="K416">
        <f>J416*Emission_factor!$C$48</f>
        <v>2163.7199999999998</v>
      </c>
    </row>
    <row r="417" spans="1:11" x14ac:dyDescent="0.25">
      <c r="A417" s="1">
        <v>416</v>
      </c>
      <c r="B417" s="1" t="s">
        <v>72</v>
      </c>
      <c r="C417" s="1" t="s">
        <v>412</v>
      </c>
      <c r="D417" s="1" t="s">
        <v>152</v>
      </c>
      <c r="E417" s="1">
        <v>2023</v>
      </c>
      <c r="F417" s="26" t="s">
        <v>433</v>
      </c>
      <c r="G417" s="26" t="s">
        <v>420</v>
      </c>
      <c r="H417" s="26">
        <v>8</v>
      </c>
      <c r="I417" s="49">
        <v>96</v>
      </c>
      <c r="J417" s="1">
        <f t="shared" si="6"/>
        <v>1536</v>
      </c>
      <c r="K417">
        <f>J417*Emission_factor!$C$48</f>
        <v>910.54079999999999</v>
      </c>
    </row>
    <row r="418" spans="1:11" x14ac:dyDescent="0.25">
      <c r="A418" s="1">
        <v>417</v>
      </c>
      <c r="B418" s="1" t="s">
        <v>72</v>
      </c>
      <c r="C418" s="1" t="s">
        <v>412</v>
      </c>
      <c r="D418" s="1" t="s">
        <v>152</v>
      </c>
      <c r="E418" s="1">
        <v>2023</v>
      </c>
      <c r="F418" s="26" t="s">
        <v>436</v>
      </c>
      <c r="G418" s="26" t="s">
        <v>437</v>
      </c>
      <c r="H418" s="26">
        <v>8</v>
      </c>
      <c r="I418" s="49">
        <v>73</v>
      </c>
      <c r="J418" s="1">
        <f t="shared" si="6"/>
        <v>1168</v>
      </c>
      <c r="K418">
        <f>J418*Emission_factor!$C$48</f>
        <v>692.3904</v>
      </c>
    </row>
    <row r="419" spans="1:11" x14ac:dyDescent="0.25">
      <c r="A419" s="1">
        <v>418</v>
      </c>
      <c r="B419" s="1" t="s">
        <v>72</v>
      </c>
      <c r="C419" s="1" t="s">
        <v>412</v>
      </c>
      <c r="D419" s="1" t="s">
        <v>152</v>
      </c>
      <c r="E419" s="1">
        <v>2023</v>
      </c>
      <c r="F419" s="26" t="s">
        <v>426</v>
      </c>
      <c r="G419" s="26" t="s">
        <v>427</v>
      </c>
      <c r="H419" s="26">
        <v>8</v>
      </c>
      <c r="I419" s="49">
        <v>168</v>
      </c>
      <c r="J419" s="1">
        <f t="shared" si="6"/>
        <v>2688</v>
      </c>
      <c r="K419">
        <f>J419*Emission_factor!$C$48</f>
        <v>1593.4464</v>
      </c>
    </row>
    <row r="420" spans="1:11" x14ac:dyDescent="0.25">
      <c r="A420" s="1">
        <v>419</v>
      </c>
      <c r="B420" s="1" t="s">
        <v>72</v>
      </c>
      <c r="C420" s="1" t="s">
        <v>412</v>
      </c>
      <c r="D420" s="1" t="s">
        <v>152</v>
      </c>
      <c r="E420" s="1">
        <v>2023</v>
      </c>
      <c r="F420" s="26" t="s">
        <v>462</v>
      </c>
      <c r="G420" s="26" t="s">
        <v>463</v>
      </c>
      <c r="H420" s="26">
        <v>8</v>
      </c>
      <c r="I420" s="49">
        <v>96.4</v>
      </c>
      <c r="J420" s="1">
        <f t="shared" si="6"/>
        <v>1542.4</v>
      </c>
      <c r="K420">
        <f>J420*Emission_factor!$C$48</f>
        <v>914.33472000000006</v>
      </c>
    </row>
    <row r="421" spans="1:11" x14ac:dyDescent="0.25">
      <c r="A421" s="1">
        <v>420</v>
      </c>
      <c r="B421" s="1" t="s">
        <v>72</v>
      </c>
      <c r="C421" s="1" t="s">
        <v>412</v>
      </c>
      <c r="D421" s="1" t="s">
        <v>152</v>
      </c>
      <c r="E421" s="1">
        <v>2023</v>
      </c>
      <c r="F421" s="26" t="s">
        <v>442</v>
      </c>
      <c r="G421" s="26" t="s">
        <v>443</v>
      </c>
      <c r="H421" s="26">
        <v>8</v>
      </c>
      <c r="I421" s="49">
        <v>102</v>
      </c>
      <c r="J421" s="1">
        <f t="shared" si="6"/>
        <v>1632</v>
      </c>
      <c r="K421">
        <f>J421*Emission_factor!$C$48</f>
        <v>967.44960000000003</v>
      </c>
    </row>
    <row r="422" spans="1:11" x14ac:dyDescent="0.25">
      <c r="A422" s="1">
        <v>421</v>
      </c>
      <c r="B422" s="1" t="s">
        <v>72</v>
      </c>
      <c r="C422" s="1" t="s">
        <v>412</v>
      </c>
      <c r="D422" s="1" t="s">
        <v>153</v>
      </c>
      <c r="E422" s="1">
        <v>2023</v>
      </c>
      <c r="F422" s="37" t="s">
        <v>436</v>
      </c>
      <c r="G422" s="37" t="s">
        <v>437</v>
      </c>
      <c r="H422" s="34">
        <v>42</v>
      </c>
      <c r="I422" s="50">
        <v>73</v>
      </c>
      <c r="J422" s="1">
        <f t="shared" si="6"/>
        <v>6132</v>
      </c>
      <c r="K422">
        <f>J422*Emission_factor!$C$48</f>
        <v>3635.0495999999998</v>
      </c>
    </row>
    <row r="423" spans="1:11" x14ac:dyDescent="0.25">
      <c r="A423" s="1">
        <v>422</v>
      </c>
      <c r="B423" s="1" t="s">
        <v>72</v>
      </c>
      <c r="C423" s="1" t="s">
        <v>412</v>
      </c>
      <c r="D423" s="1" t="s">
        <v>153</v>
      </c>
      <c r="E423" s="1">
        <v>2023</v>
      </c>
      <c r="F423" s="37" t="s">
        <v>428</v>
      </c>
      <c r="G423" s="37" t="s">
        <v>464</v>
      </c>
      <c r="H423" s="34">
        <v>100</v>
      </c>
      <c r="I423" s="50">
        <v>29.4</v>
      </c>
      <c r="J423" s="1">
        <f t="shared" si="6"/>
        <v>5880</v>
      </c>
      <c r="K423">
        <f>J423*Emission_factor!$C$48</f>
        <v>3485.6639999999998</v>
      </c>
    </row>
    <row r="424" spans="1:11" x14ac:dyDescent="0.25">
      <c r="A424" s="1">
        <v>423</v>
      </c>
      <c r="B424" s="1" t="s">
        <v>72</v>
      </c>
      <c r="C424" s="1" t="s">
        <v>412</v>
      </c>
      <c r="D424" s="1" t="s">
        <v>153</v>
      </c>
      <c r="E424" s="1">
        <v>2023</v>
      </c>
      <c r="F424" s="37" t="s">
        <v>422</v>
      </c>
      <c r="G424" s="37" t="s">
        <v>423</v>
      </c>
      <c r="H424" s="34">
        <v>82</v>
      </c>
      <c r="I424" s="50">
        <v>47.1</v>
      </c>
      <c r="J424" s="1">
        <f t="shared" si="6"/>
        <v>7724.4000000000005</v>
      </c>
      <c r="K424">
        <f>J424*Emission_factor!$C$48</f>
        <v>4579.0243200000004</v>
      </c>
    </row>
    <row r="425" spans="1:11" x14ac:dyDescent="0.25">
      <c r="A425" s="1">
        <v>424</v>
      </c>
      <c r="B425" s="1" t="s">
        <v>72</v>
      </c>
      <c r="C425" s="1" t="s">
        <v>412</v>
      </c>
      <c r="D425" s="1" t="s">
        <v>153</v>
      </c>
      <c r="E425" s="1">
        <v>2023</v>
      </c>
      <c r="F425" s="37" t="s">
        <v>452</v>
      </c>
      <c r="G425" s="37" t="s">
        <v>453</v>
      </c>
      <c r="H425" s="34">
        <v>40</v>
      </c>
      <c r="I425" s="50">
        <v>76.099999999999994</v>
      </c>
      <c r="J425" s="1">
        <f t="shared" si="6"/>
        <v>6088</v>
      </c>
      <c r="K425">
        <f>J425*Emission_factor!$C$48</f>
        <v>3608.9663999999998</v>
      </c>
    </row>
    <row r="426" spans="1:11" x14ac:dyDescent="0.25">
      <c r="A426" s="1">
        <v>425</v>
      </c>
      <c r="B426" s="1" t="s">
        <v>72</v>
      </c>
      <c r="C426" s="1" t="s">
        <v>412</v>
      </c>
      <c r="D426" s="1" t="s">
        <v>153</v>
      </c>
      <c r="E426" s="1">
        <v>2023</v>
      </c>
      <c r="F426" s="37" t="s">
        <v>428</v>
      </c>
      <c r="G426" s="37" t="s">
        <v>464</v>
      </c>
      <c r="H426" s="34">
        <v>69</v>
      </c>
      <c r="I426" s="50">
        <v>29.4</v>
      </c>
      <c r="J426" s="1">
        <f t="shared" si="6"/>
        <v>4057.2</v>
      </c>
      <c r="K426">
        <f>J426*Emission_factor!$C$48</f>
        <v>2405.1081599999998</v>
      </c>
    </row>
    <row r="427" spans="1:11" x14ac:dyDescent="0.25">
      <c r="A427" s="1">
        <v>426</v>
      </c>
      <c r="B427" s="1" t="s">
        <v>72</v>
      </c>
      <c r="C427" s="1" t="s">
        <v>412</v>
      </c>
      <c r="D427" s="1" t="s">
        <v>153</v>
      </c>
      <c r="E427" s="1">
        <v>2023</v>
      </c>
      <c r="F427" s="37" t="s">
        <v>452</v>
      </c>
      <c r="G427" s="37" t="s">
        <v>453</v>
      </c>
      <c r="H427" s="34">
        <v>45</v>
      </c>
      <c r="I427" s="50">
        <v>76.099999999999994</v>
      </c>
      <c r="J427" s="1">
        <f t="shared" si="6"/>
        <v>6848.9999999999991</v>
      </c>
      <c r="K427">
        <f>J427*Emission_factor!$C$48</f>
        <v>4060.0871999999995</v>
      </c>
    </row>
    <row r="428" spans="1:11" x14ac:dyDescent="0.25">
      <c r="A428" s="1">
        <v>427</v>
      </c>
      <c r="B428" s="1" t="s">
        <v>72</v>
      </c>
      <c r="C428" s="1" t="s">
        <v>412</v>
      </c>
      <c r="D428" s="1" t="s">
        <v>153</v>
      </c>
      <c r="E428" s="1">
        <v>2023</v>
      </c>
      <c r="F428" s="37" t="s">
        <v>413</v>
      </c>
      <c r="G428" s="37" t="s">
        <v>417</v>
      </c>
      <c r="H428" s="34">
        <v>83</v>
      </c>
      <c r="I428" s="50">
        <v>28.1</v>
      </c>
      <c r="J428" s="1">
        <f t="shared" si="6"/>
        <v>4664.6000000000004</v>
      </c>
      <c r="K428">
        <f>J428*Emission_factor!$C$48</f>
        <v>2765.17488</v>
      </c>
    </row>
    <row r="429" spans="1:11" x14ac:dyDescent="0.25">
      <c r="A429" s="1">
        <v>428</v>
      </c>
      <c r="B429" s="1" t="s">
        <v>72</v>
      </c>
      <c r="C429" s="1" t="s">
        <v>412</v>
      </c>
      <c r="D429" s="1" t="s">
        <v>153</v>
      </c>
      <c r="E429" s="1">
        <v>2023</v>
      </c>
      <c r="F429" s="37" t="s">
        <v>413</v>
      </c>
      <c r="G429" s="37" t="s">
        <v>417</v>
      </c>
      <c r="H429" s="34">
        <v>44</v>
      </c>
      <c r="I429" s="50">
        <v>28.1</v>
      </c>
      <c r="J429" s="1">
        <f t="shared" si="6"/>
        <v>2472.8000000000002</v>
      </c>
      <c r="K429">
        <f>J429*Emission_factor!$C$48</f>
        <v>1465.8758400000002</v>
      </c>
    </row>
    <row r="430" spans="1:11" x14ac:dyDescent="0.25">
      <c r="A430" s="1">
        <v>429</v>
      </c>
      <c r="B430" s="1" t="s">
        <v>72</v>
      </c>
      <c r="C430" s="1" t="s">
        <v>412</v>
      </c>
      <c r="D430" s="1" t="s">
        <v>153</v>
      </c>
      <c r="E430" s="1">
        <v>2023</v>
      </c>
      <c r="F430" s="37" t="s">
        <v>426</v>
      </c>
      <c r="G430" s="37" t="s">
        <v>427</v>
      </c>
      <c r="H430" s="34">
        <v>12</v>
      </c>
      <c r="I430" s="50">
        <v>168</v>
      </c>
      <c r="J430" s="1">
        <f t="shared" si="6"/>
        <v>4032</v>
      </c>
      <c r="K430">
        <f>J430*Emission_factor!$C$48</f>
        <v>2390.1696000000002</v>
      </c>
    </row>
    <row r="431" spans="1:11" x14ac:dyDescent="0.25">
      <c r="A431" s="1">
        <v>430</v>
      </c>
      <c r="B431" s="1" t="s">
        <v>72</v>
      </c>
      <c r="C431" s="1" t="s">
        <v>412</v>
      </c>
      <c r="D431" s="1" t="s">
        <v>153</v>
      </c>
      <c r="E431" s="1">
        <v>2023</v>
      </c>
      <c r="F431" s="42" t="s">
        <v>422</v>
      </c>
      <c r="G431" s="37" t="s">
        <v>423</v>
      </c>
      <c r="H431" s="34">
        <v>42</v>
      </c>
      <c r="I431" s="50">
        <v>47.1</v>
      </c>
      <c r="J431" s="1">
        <f t="shared" si="6"/>
        <v>3956.4</v>
      </c>
      <c r="K431">
        <f>J431*Emission_factor!$C$48</f>
        <v>2345.35392</v>
      </c>
    </row>
    <row r="432" spans="1:11" x14ac:dyDescent="0.25">
      <c r="A432" s="1">
        <v>431</v>
      </c>
      <c r="B432" s="1" t="s">
        <v>72</v>
      </c>
      <c r="C432" s="1" t="s">
        <v>412</v>
      </c>
      <c r="D432" s="1" t="s">
        <v>153</v>
      </c>
      <c r="E432" s="1">
        <v>2023</v>
      </c>
      <c r="F432" s="37" t="s">
        <v>465</v>
      </c>
      <c r="G432" s="37" t="s">
        <v>466</v>
      </c>
      <c r="H432" s="34">
        <v>15</v>
      </c>
      <c r="I432" s="50">
        <v>251</v>
      </c>
      <c r="J432" s="1">
        <f t="shared" si="6"/>
        <v>7530</v>
      </c>
      <c r="K432">
        <f>J432*Emission_factor!$C$48</f>
        <v>4463.7839999999997</v>
      </c>
    </row>
    <row r="433" spans="1:11" x14ac:dyDescent="0.25">
      <c r="A433" s="1">
        <v>432</v>
      </c>
      <c r="B433" s="1" t="s">
        <v>72</v>
      </c>
      <c r="C433" s="1" t="s">
        <v>412</v>
      </c>
      <c r="D433" s="1" t="s">
        <v>153</v>
      </c>
      <c r="E433" s="1">
        <v>2023</v>
      </c>
      <c r="F433" s="37" t="s">
        <v>422</v>
      </c>
      <c r="G433" s="37" t="s">
        <v>423</v>
      </c>
      <c r="H433" s="34">
        <v>100</v>
      </c>
      <c r="I433" s="50">
        <v>47.1</v>
      </c>
      <c r="J433" s="1">
        <f t="shared" si="6"/>
        <v>9420</v>
      </c>
      <c r="K433">
        <f>J433*Emission_factor!$C$48</f>
        <v>5584.1760000000004</v>
      </c>
    </row>
    <row r="434" spans="1:11" x14ac:dyDescent="0.25">
      <c r="A434" s="1">
        <v>433</v>
      </c>
      <c r="B434" s="1" t="s">
        <v>72</v>
      </c>
      <c r="C434" s="1" t="s">
        <v>412</v>
      </c>
      <c r="D434" s="1" t="s">
        <v>153</v>
      </c>
      <c r="E434" s="1">
        <v>2023</v>
      </c>
      <c r="F434" s="37" t="s">
        <v>452</v>
      </c>
      <c r="G434" s="37" t="s">
        <v>453</v>
      </c>
      <c r="H434" s="34">
        <v>100</v>
      </c>
      <c r="I434" s="50">
        <v>76.099999999999994</v>
      </c>
      <c r="J434" s="1">
        <f t="shared" si="6"/>
        <v>15219.999999999998</v>
      </c>
      <c r="K434">
        <f>J434*Emission_factor!$C$48</f>
        <v>9022.4159999999993</v>
      </c>
    </row>
    <row r="435" spans="1:11" x14ac:dyDescent="0.25">
      <c r="A435" s="1">
        <v>434</v>
      </c>
      <c r="B435" s="1" t="s">
        <v>72</v>
      </c>
      <c r="C435" s="1" t="s">
        <v>412</v>
      </c>
      <c r="D435" s="1" t="s">
        <v>153</v>
      </c>
      <c r="E435" s="1">
        <v>2023</v>
      </c>
      <c r="F435" s="37" t="s">
        <v>428</v>
      </c>
      <c r="G435" s="37" t="s">
        <v>464</v>
      </c>
      <c r="H435" s="34">
        <v>60</v>
      </c>
      <c r="I435" s="50">
        <v>29.4</v>
      </c>
      <c r="J435" s="1">
        <f t="shared" si="6"/>
        <v>3528</v>
      </c>
      <c r="K435">
        <f>J435*Emission_factor!$C$48</f>
        <v>2091.3984</v>
      </c>
    </row>
    <row r="436" spans="1:11" x14ac:dyDescent="0.25">
      <c r="A436" s="1">
        <v>435</v>
      </c>
      <c r="B436" s="1" t="s">
        <v>72</v>
      </c>
      <c r="C436" s="1" t="s">
        <v>412</v>
      </c>
      <c r="D436" s="1" t="s">
        <v>153</v>
      </c>
      <c r="E436" s="1">
        <v>2023</v>
      </c>
      <c r="F436" s="37" t="s">
        <v>422</v>
      </c>
      <c r="G436" s="37" t="s">
        <v>423</v>
      </c>
      <c r="H436" s="34">
        <v>60</v>
      </c>
      <c r="I436" s="50">
        <v>47.1</v>
      </c>
      <c r="J436" s="1">
        <f t="shared" si="6"/>
        <v>5652</v>
      </c>
      <c r="K436">
        <f>J436*Emission_factor!$C$48</f>
        <v>3350.5056</v>
      </c>
    </row>
    <row r="437" spans="1:11" x14ac:dyDescent="0.25">
      <c r="A437" s="1">
        <v>436</v>
      </c>
      <c r="B437" s="1" t="s">
        <v>72</v>
      </c>
      <c r="C437" s="1" t="s">
        <v>412</v>
      </c>
      <c r="D437" s="1" t="s">
        <v>153</v>
      </c>
      <c r="E437" s="1">
        <v>2023</v>
      </c>
      <c r="F437" s="37" t="s">
        <v>452</v>
      </c>
      <c r="G437" s="37" t="s">
        <v>453</v>
      </c>
      <c r="H437" s="34">
        <v>69</v>
      </c>
      <c r="I437" s="50">
        <v>76.099999999999994</v>
      </c>
      <c r="J437" s="1">
        <f t="shared" si="6"/>
        <v>10501.8</v>
      </c>
      <c r="K437">
        <f>J437*Emission_factor!$C$48</f>
        <v>6225.4670399999995</v>
      </c>
    </row>
    <row r="438" spans="1:11" x14ac:dyDescent="0.25">
      <c r="A438" s="1">
        <v>437</v>
      </c>
      <c r="B438" s="1" t="s">
        <v>72</v>
      </c>
      <c r="C438" s="1" t="s">
        <v>412</v>
      </c>
      <c r="D438" s="1" t="s">
        <v>153</v>
      </c>
      <c r="E438" s="1">
        <v>2023</v>
      </c>
      <c r="F438" s="37" t="s">
        <v>413</v>
      </c>
      <c r="G438" s="37" t="s">
        <v>417</v>
      </c>
      <c r="H438" s="34">
        <v>58</v>
      </c>
      <c r="I438" s="50">
        <v>28.1</v>
      </c>
      <c r="J438" s="1">
        <f t="shared" si="6"/>
        <v>3259.6000000000004</v>
      </c>
      <c r="K438">
        <f>J438*Emission_factor!$C$48</f>
        <v>1932.2908800000002</v>
      </c>
    </row>
    <row r="439" spans="1:11" x14ac:dyDescent="0.25">
      <c r="A439" s="1">
        <v>438</v>
      </c>
      <c r="B439" s="1" t="s">
        <v>72</v>
      </c>
      <c r="C439" s="1" t="s">
        <v>412</v>
      </c>
      <c r="D439" s="1" t="s">
        <v>153</v>
      </c>
      <c r="E439" s="1">
        <v>2023</v>
      </c>
      <c r="F439" s="37" t="s">
        <v>465</v>
      </c>
      <c r="G439" s="37" t="s">
        <v>466</v>
      </c>
      <c r="H439" s="34">
        <v>20</v>
      </c>
      <c r="I439" s="50">
        <v>251</v>
      </c>
      <c r="J439" s="1">
        <f t="shared" si="6"/>
        <v>10040</v>
      </c>
      <c r="K439">
        <f>J439*Emission_factor!$C$48</f>
        <v>5951.7119999999995</v>
      </c>
    </row>
    <row r="440" spans="1:11" x14ac:dyDescent="0.25">
      <c r="A440" s="1">
        <v>439</v>
      </c>
      <c r="B440" s="1" t="s">
        <v>72</v>
      </c>
      <c r="C440" s="1" t="s">
        <v>412</v>
      </c>
      <c r="D440" s="1" t="s">
        <v>153</v>
      </c>
      <c r="E440" s="1">
        <v>2023</v>
      </c>
      <c r="F440" s="37" t="s">
        <v>428</v>
      </c>
      <c r="G440" s="37" t="s">
        <v>464</v>
      </c>
      <c r="H440" s="34">
        <v>120</v>
      </c>
      <c r="I440" s="50">
        <v>29.4</v>
      </c>
      <c r="J440" s="1">
        <f t="shared" si="6"/>
        <v>7056</v>
      </c>
      <c r="K440">
        <f>J440*Emission_factor!$C$48</f>
        <v>4182.7968000000001</v>
      </c>
    </row>
    <row r="441" spans="1:11" x14ac:dyDescent="0.25">
      <c r="A441" s="1">
        <v>440</v>
      </c>
      <c r="B441" s="1" t="s">
        <v>72</v>
      </c>
      <c r="C441" s="1" t="s">
        <v>412</v>
      </c>
      <c r="D441" s="1" t="s">
        <v>153</v>
      </c>
      <c r="E441" s="1">
        <v>2023</v>
      </c>
      <c r="F441" s="42" t="s">
        <v>422</v>
      </c>
      <c r="G441" s="37" t="s">
        <v>423</v>
      </c>
      <c r="H441" s="34">
        <v>148</v>
      </c>
      <c r="I441" s="50">
        <v>47.1</v>
      </c>
      <c r="J441" s="1">
        <f t="shared" si="6"/>
        <v>13941.6</v>
      </c>
      <c r="K441">
        <f>J441*Emission_factor!$C$48</f>
        <v>8264.5804800000005</v>
      </c>
    </row>
    <row r="442" spans="1:11" x14ac:dyDescent="0.25">
      <c r="A442" s="1">
        <v>441</v>
      </c>
      <c r="B442" s="1" t="s">
        <v>72</v>
      </c>
      <c r="C442" s="1" t="s">
        <v>412</v>
      </c>
      <c r="D442" s="1" t="s">
        <v>153</v>
      </c>
      <c r="E442" s="1">
        <v>2023</v>
      </c>
      <c r="F442" s="37" t="s">
        <v>452</v>
      </c>
      <c r="G442" s="37" t="s">
        <v>453</v>
      </c>
      <c r="H442" s="34">
        <v>1</v>
      </c>
      <c r="I442" s="50">
        <v>76.099999999999994</v>
      </c>
      <c r="J442" s="1">
        <f t="shared" si="6"/>
        <v>152.19999999999999</v>
      </c>
      <c r="K442">
        <f>J442*Emission_factor!$C$48</f>
        <v>90.224159999999998</v>
      </c>
    </row>
    <row r="443" spans="1:11" x14ac:dyDescent="0.25">
      <c r="A443" s="1">
        <v>442</v>
      </c>
      <c r="B443" s="1" t="s">
        <v>72</v>
      </c>
      <c r="C443" s="1" t="s">
        <v>412</v>
      </c>
      <c r="D443" s="1" t="s">
        <v>153</v>
      </c>
      <c r="E443" s="1">
        <v>2023</v>
      </c>
      <c r="F443" s="37" t="s">
        <v>413</v>
      </c>
      <c r="G443" s="37" t="s">
        <v>417</v>
      </c>
      <c r="H443" s="34">
        <v>1</v>
      </c>
      <c r="I443" s="50">
        <v>28.1</v>
      </c>
      <c r="J443" s="1">
        <f t="shared" si="6"/>
        <v>56.2</v>
      </c>
      <c r="K443">
        <f>J443*Emission_factor!$C$48</f>
        <v>33.315359999999998</v>
      </c>
    </row>
    <row r="444" spans="1:11" x14ac:dyDescent="0.25">
      <c r="A444" s="1">
        <v>443</v>
      </c>
      <c r="B444" s="1" t="s">
        <v>72</v>
      </c>
      <c r="C444" s="1" t="s">
        <v>412</v>
      </c>
      <c r="D444" s="1" t="s">
        <v>153</v>
      </c>
      <c r="E444" s="1">
        <v>2023</v>
      </c>
      <c r="F444" s="37" t="s">
        <v>465</v>
      </c>
      <c r="G444" s="37" t="s">
        <v>466</v>
      </c>
      <c r="H444" s="34">
        <v>35</v>
      </c>
      <c r="I444" s="50">
        <v>251</v>
      </c>
      <c r="J444" s="1">
        <f t="shared" si="6"/>
        <v>17570</v>
      </c>
      <c r="K444">
        <f>J444*Emission_factor!$C$48</f>
        <v>10415.495999999999</v>
      </c>
    </row>
    <row r="445" spans="1:11" x14ac:dyDescent="0.25">
      <c r="A445" s="1">
        <v>444</v>
      </c>
      <c r="B445" s="1" t="s">
        <v>72</v>
      </c>
      <c r="C445" s="1" t="s">
        <v>412</v>
      </c>
      <c r="D445" s="1" t="s">
        <v>153</v>
      </c>
      <c r="E445" s="1">
        <v>2023</v>
      </c>
      <c r="F445" s="42" t="s">
        <v>450</v>
      </c>
      <c r="G445" s="37" t="s">
        <v>451</v>
      </c>
      <c r="H445" s="34">
        <v>16</v>
      </c>
      <c r="I445" s="50">
        <v>55.7</v>
      </c>
      <c r="J445" s="1">
        <f t="shared" si="6"/>
        <v>1782.4</v>
      </c>
      <c r="K445">
        <f>J445*Emission_factor!$C$48</f>
        <v>1056.60672</v>
      </c>
    </row>
    <row r="446" spans="1:11" x14ac:dyDescent="0.25">
      <c r="A446" s="1">
        <v>445</v>
      </c>
      <c r="B446" s="1" t="s">
        <v>72</v>
      </c>
      <c r="C446" s="1" t="s">
        <v>412</v>
      </c>
      <c r="D446" s="1" t="s">
        <v>153</v>
      </c>
      <c r="E446" s="1">
        <v>2023</v>
      </c>
      <c r="F446" s="37" t="s">
        <v>428</v>
      </c>
      <c r="G446" s="37" t="s">
        <v>464</v>
      </c>
      <c r="H446" s="34">
        <v>74</v>
      </c>
      <c r="I446" s="50">
        <v>29.4</v>
      </c>
      <c r="J446" s="1">
        <f t="shared" si="6"/>
        <v>4351.2</v>
      </c>
      <c r="K446">
        <f>J446*Emission_factor!$C$48</f>
        <v>2579.3913600000001</v>
      </c>
    </row>
    <row r="447" spans="1:11" x14ac:dyDescent="0.25">
      <c r="A447" s="1">
        <v>446</v>
      </c>
      <c r="B447" s="1" t="s">
        <v>72</v>
      </c>
      <c r="C447" s="1" t="s">
        <v>412</v>
      </c>
      <c r="D447" s="1" t="s">
        <v>153</v>
      </c>
      <c r="E447" s="1">
        <v>2023</v>
      </c>
      <c r="F447" s="42" t="s">
        <v>422</v>
      </c>
      <c r="G447" s="37" t="s">
        <v>423</v>
      </c>
      <c r="H447" s="34">
        <v>65</v>
      </c>
      <c r="I447" s="50">
        <v>47.1</v>
      </c>
      <c r="J447" s="1">
        <f t="shared" si="6"/>
        <v>6123</v>
      </c>
      <c r="K447">
        <f>J447*Emission_factor!$C$48</f>
        <v>3629.7143999999998</v>
      </c>
    </row>
    <row r="448" spans="1:11" x14ac:dyDescent="0.25">
      <c r="A448" s="1">
        <v>447</v>
      </c>
      <c r="B448" s="1" t="s">
        <v>72</v>
      </c>
      <c r="C448" s="1" t="s">
        <v>412</v>
      </c>
      <c r="D448" s="1" t="s">
        <v>153</v>
      </c>
      <c r="E448" s="1">
        <v>2023</v>
      </c>
      <c r="F448" s="37" t="s">
        <v>444</v>
      </c>
      <c r="G448" s="37" t="s">
        <v>445</v>
      </c>
      <c r="H448" s="34">
        <v>127</v>
      </c>
      <c r="I448" s="50">
        <v>81.3</v>
      </c>
      <c r="J448" s="1">
        <f t="shared" si="6"/>
        <v>20650.2</v>
      </c>
      <c r="K448">
        <f>J448*Emission_factor!$C$48</f>
        <v>12241.438560000001</v>
      </c>
    </row>
    <row r="449" spans="1:11" x14ac:dyDescent="0.25">
      <c r="A449" s="1">
        <v>448</v>
      </c>
      <c r="B449" s="1" t="s">
        <v>72</v>
      </c>
      <c r="C449" s="1" t="s">
        <v>412</v>
      </c>
      <c r="D449" s="1" t="s">
        <v>153</v>
      </c>
      <c r="E449" s="1">
        <v>2023</v>
      </c>
      <c r="F449" s="37" t="s">
        <v>465</v>
      </c>
      <c r="G449" s="37" t="s">
        <v>466</v>
      </c>
      <c r="H449" s="34">
        <v>5</v>
      </c>
      <c r="I449" s="50">
        <v>251</v>
      </c>
      <c r="J449" s="1">
        <f t="shared" si="6"/>
        <v>2510</v>
      </c>
      <c r="K449">
        <f>J449*Emission_factor!$C$48</f>
        <v>1487.9279999999999</v>
      </c>
    </row>
    <row r="450" spans="1:11" x14ac:dyDescent="0.25">
      <c r="A450" s="1">
        <v>449</v>
      </c>
      <c r="B450" s="1" t="s">
        <v>72</v>
      </c>
      <c r="C450" s="1" t="s">
        <v>412</v>
      </c>
      <c r="D450" s="1" t="s">
        <v>153</v>
      </c>
      <c r="E450" s="1">
        <v>2023</v>
      </c>
      <c r="F450" s="37" t="s">
        <v>436</v>
      </c>
      <c r="G450" s="37" t="s">
        <v>437</v>
      </c>
      <c r="H450" s="34">
        <v>42</v>
      </c>
      <c r="I450" s="50">
        <v>73</v>
      </c>
      <c r="J450" s="1">
        <f t="shared" si="6"/>
        <v>6132</v>
      </c>
      <c r="K450">
        <f>J450*Emission_factor!$C$48</f>
        <v>3635.0495999999998</v>
      </c>
    </row>
    <row r="451" spans="1:11" x14ac:dyDescent="0.25">
      <c r="A451" s="1">
        <v>450</v>
      </c>
      <c r="B451" s="1" t="s">
        <v>72</v>
      </c>
      <c r="C451" s="1" t="s">
        <v>412</v>
      </c>
      <c r="D451" s="1" t="s">
        <v>153</v>
      </c>
      <c r="E451" s="1">
        <v>2023</v>
      </c>
      <c r="F451" s="37" t="s">
        <v>428</v>
      </c>
      <c r="G451" s="37" t="s">
        <v>464</v>
      </c>
      <c r="H451" s="34">
        <v>1</v>
      </c>
      <c r="I451" s="50">
        <v>29.4</v>
      </c>
      <c r="J451" s="1">
        <f t="shared" ref="J451:J514" si="7">H451*I451*2</f>
        <v>58.8</v>
      </c>
      <c r="K451">
        <f>J451*Emission_factor!$C$48</f>
        <v>34.856639999999999</v>
      </c>
    </row>
    <row r="452" spans="1:11" x14ac:dyDescent="0.25">
      <c r="A452" s="1">
        <v>451</v>
      </c>
      <c r="B452" s="1" t="s">
        <v>72</v>
      </c>
      <c r="C452" s="1" t="s">
        <v>412</v>
      </c>
      <c r="D452" s="1" t="s">
        <v>153</v>
      </c>
      <c r="E452" s="1">
        <v>2023</v>
      </c>
      <c r="F452" s="37" t="s">
        <v>452</v>
      </c>
      <c r="G452" s="37" t="s">
        <v>453</v>
      </c>
      <c r="H452" s="34">
        <v>101</v>
      </c>
      <c r="I452" s="50">
        <v>76.099999999999994</v>
      </c>
      <c r="J452" s="1">
        <f t="shared" si="7"/>
        <v>15372.199999999999</v>
      </c>
      <c r="K452">
        <f>J452*Emission_factor!$C$48</f>
        <v>9112.640159999999</v>
      </c>
    </row>
    <row r="453" spans="1:11" x14ac:dyDescent="0.25">
      <c r="A453" s="1">
        <v>452</v>
      </c>
      <c r="B453" s="1" t="s">
        <v>72</v>
      </c>
      <c r="C453" s="1" t="s">
        <v>412</v>
      </c>
      <c r="D453" s="1" t="s">
        <v>153</v>
      </c>
      <c r="E453" s="1">
        <v>2023</v>
      </c>
      <c r="F453" s="37" t="s">
        <v>450</v>
      </c>
      <c r="G453" s="37" t="s">
        <v>451</v>
      </c>
      <c r="H453" s="34">
        <v>42</v>
      </c>
      <c r="I453" s="50">
        <v>55.7</v>
      </c>
      <c r="J453" s="1">
        <f t="shared" si="7"/>
        <v>4678.8</v>
      </c>
      <c r="K453">
        <f>J453*Emission_factor!$C$48</f>
        <v>2773.5926400000003</v>
      </c>
    </row>
    <row r="454" spans="1:11" x14ac:dyDescent="0.25">
      <c r="A454" s="1">
        <v>453</v>
      </c>
      <c r="B454" s="1" t="s">
        <v>72</v>
      </c>
      <c r="C454" s="1" t="s">
        <v>412</v>
      </c>
      <c r="D454" s="1" t="s">
        <v>153</v>
      </c>
      <c r="E454" s="1">
        <v>2023</v>
      </c>
      <c r="F454" s="37" t="s">
        <v>428</v>
      </c>
      <c r="G454" s="37" t="s">
        <v>464</v>
      </c>
      <c r="H454" s="34">
        <v>8</v>
      </c>
      <c r="I454" s="50">
        <v>29.4</v>
      </c>
      <c r="J454" s="1">
        <f t="shared" si="7"/>
        <v>470.4</v>
      </c>
      <c r="K454">
        <f>J454*Emission_factor!$C$48</f>
        <v>278.85311999999999</v>
      </c>
    </row>
    <row r="455" spans="1:11" x14ac:dyDescent="0.25">
      <c r="A455" s="1">
        <v>454</v>
      </c>
      <c r="B455" s="1" t="s">
        <v>72</v>
      </c>
      <c r="C455" s="1" t="s">
        <v>412</v>
      </c>
      <c r="D455" s="1" t="s">
        <v>153</v>
      </c>
      <c r="E455" s="1">
        <v>2023</v>
      </c>
      <c r="F455" s="37" t="s">
        <v>422</v>
      </c>
      <c r="G455" s="37" t="s">
        <v>423</v>
      </c>
      <c r="H455" s="34">
        <v>100</v>
      </c>
      <c r="I455" s="50">
        <v>47.1</v>
      </c>
      <c r="J455" s="1">
        <f t="shared" si="7"/>
        <v>9420</v>
      </c>
      <c r="K455">
        <f>J455*Emission_factor!$C$48</f>
        <v>5584.1760000000004</v>
      </c>
    </row>
    <row r="456" spans="1:11" x14ac:dyDescent="0.25">
      <c r="A456" s="1">
        <v>455</v>
      </c>
      <c r="B456" s="1" t="s">
        <v>72</v>
      </c>
      <c r="C456" s="1" t="s">
        <v>412</v>
      </c>
      <c r="D456" s="1" t="s">
        <v>153</v>
      </c>
      <c r="E456" s="1">
        <v>2023</v>
      </c>
      <c r="F456" s="37" t="s">
        <v>452</v>
      </c>
      <c r="G456" s="37" t="s">
        <v>453</v>
      </c>
      <c r="H456" s="34">
        <v>50</v>
      </c>
      <c r="I456" s="50">
        <v>76.099999999999994</v>
      </c>
      <c r="J456" s="1">
        <f t="shared" si="7"/>
        <v>7609.9999999999991</v>
      </c>
      <c r="K456">
        <f>J456*Emission_factor!$C$48</f>
        <v>4511.2079999999996</v>
      </c>
    </row>
    <row r="457" spans="1:11" x14ac:dyDescent="0.25">
      <c r="A457" s="1">
        <v>456</v>
      </c>
      <c r="B457" s="1" t="s">
        <v>72</v>
      </c>
      <c r="C457" s="1" t="s">
        <v>412</v>
      </c>
      <c r="D457" s="1" t="s">
        <v>153</v>
      </c>
      <c r="E457" s="1">
        <v>2023</v>
      </c>
      <c r="F457" s="37" t="s">
        <v>465</v>
      </c>
      <c r="G457" s="37" t="s">
        <v>466</v>
      </c>
      <c r="H457" s="34">
        <v>1</v>
      </c>
      <c r="I457" s="50">
        <v>251</v>
      </c>
      <c r="J457" s="1">
        <f t="shared" si="7"/>
        <v>502</v>
      </c>
      <c r="K457">
        <f>J457*Emission_factor!$C$48</f>
        <v>297.5856</v>
      </c>
    </row>
    <row r="458" spans="1:11" x14ac:dyDescent="0.25">
      <c r="A458" s="1">
        <v>457</v>
      </c>
      <c r="B458" s="1" t="s">
        <v>72</v>
      </c>
      <c r="C458" s="1" t="s">
        <v>412</v>
      </c>
      <c r="D458" s="1" t="s">
        <v>153</v>
      </c>
      <c r="E458" s="1">
        <v>2023</v>
      </c>
      <c r="F458" s="37" t="s">
        <v>450</v>
      </c>
      <c r="G458" s="37" t="s">
        <v>451</v>
      </c>
      <c r="H458" s="34">
        <v>1</v>
      </c>
      <c r="I458" s="50">
        <v>55.7</v>
      </c>
      <c r="J458" s="1">
        <f t="shared" si="7"/>
        <v>111.4</v>
      </c>
      <c r="K458">
        <f>J458*Emission_factor!$C$48</f>
        <v>66.03792</v>
      </c>
    </row>
    <row r="459" spans="1:11" x14ac:dyDescent="0.25">
      <c r="A459" s="1">
        <v>458</v>
      </c>
      <c r="B459" s="1" t="s">
        <v>72</v>
      </c>
      <c r="C459" s="1" t="s">
        <v>412</v>
      </c>
      <c r="D459" s="1" t="s">
        <v>153</v>
      </c>
      <c r="E459" s="1">
        <v>2023</v>
      </c>
      <c r="F459" s="37" t="s">
        <v>436</v>
      </c>
      <c r="G459" s="37" t="s">
        <v>437</v>
      </c>
      <c r="H459" s="34">
        <v>42</v>
      </c>
      <c r="I459" s="50">
        <v>73</v>
      </c>
      <c r="J459" s="1">
        <f t="shared" si="7"/>
        <v>6132</v>
      </c>
      <c r="K459">
        <f>J459*Emission_factor!$C$48</f>
        <v>3635.0495999999998</v>
      </c>
    </row>
    <row r="460" spans="1:11" x14ac:dyDescent="0.25">
      <c r="A460" s="1">
        <v>459</v>
      </c>
      <c r="B460" s="1" t="s">
        <v>72</v>
      </c>
      <c r="C460" s="1" t="s">
        <v>412</v>
      </c>
      <c r="D460" s="1" t="s">
        <v>153</v>
      </c>
      <c r="E460" s="1">
        <v>2023</v>
      </c>
      <c r="F460" s="37" t="s">
        <v>422</v>
      </c>
      <c r="G460" s="37" t="s">
        <v>423</v>
      </c>
      <c r="H460" s="34">
        <v>16</v>
      </c>
      <c r="I460" s="50">
        <v>47.1</v>
      </c>
      <c r="J460" s="1">
        <f t="shared" si="7"/>
        <v>1507.2</v>
      </c>
      <c r="K460">
        <f>J460*Emission_factor!$C$48</f>
        <v>893.46816000000001</v>
      </c>
    </row>
    <row r="461" spans="1:11" x14ac:dyDescent="0.25">
      <c r="A461" s="1">
        <v>460</v>
      </c>
      <c r="B461" s="1" t="s">
        <v>72</v>
      </c>
      <c r="C461" s="1" t="s">
        <v>412</v>
      </c>
      <c r="D461" s="1" t="s">
        <v>153</v>
      </c>
      <c r="E461" s="1">
        <v>2023</v>
      </c>
      <c r="F461" s="37" t="s">
        <v>452</v>
      </c>
      <c r="G461" s="37" t="s">
        <v>453</v>
      </c>
      <c r="H461" s="34">
        <v>67</v>
      </c>
      <c r="I461" s="50">
        <v>76.099999999999994</v>
      </c>
      <c r="J461" s="1">
        <f t="shared" si="7"/>
        <v>10197.4</v>
      </c>
      <c r="K461">
        <f>J461*Emission_factor!$C$48</f>
        <v>6045.01872</v>
      </c>
    </row>
    <row r="462" spans="1:11" x14ac:dyDescent="0.25">
      <c r="A462" s="1">
        <v>461</v>
      </c>
      <c r="B462" s="1" t="s">
        <v>72</v>
      </c>
      <c r="C462" s="1" t="s">
        <v>412</v>
      </c>
      <c r="D462" s="1" t="s">
        <v>153</v>
      </c>
      <c r="E462" s="1">
        <v>2023</v>
      </c>
      <c r="F462" s="37" t="s">
        <v>465</v>
      </c>
      <c r="G462" s="37" t="s">
        <v>466</v>
      </c>
      <c r="H462" s="34">
        <v>1</v>
      </c>
      <c r="I462" s="50">
        <v>251</v>
      </c>
      <c r="J462" s="1">
        <f t="shared" si="7"/>
        <v>502</v>
      </c>
      <c r="K462">
        <f>J462*Emission_factor!$C$48</f>
        <v>297.5856</v>
      </c>
    </row>
    <row r="463" spans="1:11" x14ac:dyDescent="0.25">
      <c r="A463" s="1">
        <v>462</v>
      </c>
      <c r="B463" s="1" t="s">
        <v>72</v>
      </c>
      <c r="C463" s="1" t="s">
        <v>412</v>
      </c>
      <c r="D463" s="1" t="s">
        <v>153</v>
      </c>
      <c r="E463" s="1">
        <v>2023</v>
      </c>
      <c r="F463" s="37" t="s">
        <v>452</v>
      </c>
      <c r="G463" s="37" t="s">
        <v>453</v>
      </c>
      <c r="H463" s="34">
        <v>35</v>
      </c>
      <c r="I463" s="50">
        <v>76.099999999999994</v>
      </c>
      <c r="J463" s="1">
        <f t="shared" si="7"/>
        <v>5327</v>
      </c>
      <c r="K463">
        <f>J463*Emission_factor!$C$48</f>
        <v>3157.8456000000001</v>
      </c>
    </row>
    <row r="464" spans="1:11" x14ac:dyDescent="0.25">
      <c r="A464" s="1">
        <v>463</v>
      </c>
      <c r="B464" s="1" t="s">
        <v>72</v>
      </c>
      <c r="C464" s="1" t="s">
        <v>412</v>
      </c>
      <c r="D464" s="1" t="s">
        <v>153</v>
      </c>
      <c r="E464" s="1">
        <v>2023</v>
      </c>
      <c r="F464" s="37" t="s">
        <v>446</v>
      </c>
      <c r="G464" s="37" t="s">
        <v>447</v>
      </c>
      <c r="H464" s="34">
        <v>8</v>
      </c>
      <c r="I464" s="50">
        <v>65.5</v>
      </c>
      <c r="J464" s="1">
        <f t="shared" si="7"/>
        <v>1048</v>
      </c>
      <c r="K464">
        <f>J464*Emission_factor!$C$48</f>
        <v>621.25440000000003</v>
      </c>
    </row>
    <row r="465" spans="1:11" x14ac:dyDescent="0.25">
      <c r="A465" s="1">
        <v>464</v>
      </c>
      <c r="B465" s="1" t="s">
        <v>72</v>
      </c>
      <c r="C465" s="1" t="s">
        <v>412</v>
      </c>
      <c r="D465" s="1" t="s">
        <v>153</v>
      </c>
      <c r="E465" s="1">
        <v>2023</v>
      </c>
      <c r="F465" s="37" t="s">
        <v>436</v>
      </c>
      <c r="G465" s="37" t="s">
        <v>437</v>
      </c>
      <c r="H465" s="34">
        <v>42</v>
      </c>
      <c r="I465" s="50">
        <v>73</v>
      </c>
      <c r="J465" s="1">
        <f t="shared" si="7"/>
        <v>6132</v>
      </c>
      <c r="K465">
        <f>J465*Emission_factor!$C$48</f>
        <v>3635.0495999999998</v>
      </c>
    </row>
    <row r="466" spans="1:11" x14ac:dyDescent="0.25">
      <c r="A466" s="1">
        <v>465</v>
      </c>
      <c r="B466" s="1" t="s">
        <v>72</v>
      </c>
      <c r="C466" s="1" t="s">
        <v>412</v>
      </c>
      <c r="D466" s="1" t="s">
        <v>153</v>
      </c>
      <c r="E466" s="1">
        <v>2023</v>
      </c>
      <c r="F466" s="37" t="s">
        <v>467</v>
      </c>
      <c r="G466" s="37" t="s">
        <v>468</v>
      </c>
      <c r="H466" s="34">
        <v>100</v>
      </c>
      <c r="I466" s="50">
        <v>67.3</v>
      </c>
      <c r="J466" s="1">
        <f t="shared" si="7"/>
        <v>13460</v>
      </c>
      <c r="K466">
        <f>J466*Emission_factor!$C$48</f>
        <v>7979.0879999999997</v>
      </c>
    </row>
    <row r="467" spans="1:11" x14ac:dyDescent="0.25">
      <c r="A467" s="1">
        <v>466</v>
      </c>
      <c r="B467" s="1" t="s">
        <v>72</v>
      </c>
      <c r="C467" s="1" t="s">
        <v>412</v>
      </c>
      <c r="D467" s="1" t="s">
        <v>153</v>
      </c>
      <c r="E467" s="1">
        <v>2023</v>
      </c>
      <c r="F467" s="37" t="s">
        <v>422</v>
      </c>
      <c r="G467" s="37" t="s">
        <v>423</v>
      </c>
      <c r="H467" s="34">
        <v>170</v>
      </c>
      <c r="I467" s="50">
        <v>47.1</v>
      </c>
      <c r="J467" s="1">
        <f t="shared" si="7"/>
        <v>16014</v>
      </c>
      <c r="K467">
        <f>J467*Emission_factor!$C$48</f>
        <v>9493.0992000000006</v>
      </c>
    </row>
    <row r="468" spans="1:11" x14ac:dyDescent="0.25">
      <c r="A468" s="1">
        <v>467</v>
      </c>
      <c r="B468" s="1" t="s">
        <v>72</v>
      </c>
      <c r="C468" s="1" t="s">
        <v>412</v>
      </c>
      <c r="D468" s="1" t="s">
        <v>153</v>
      </c>
      <c r="E468" s="1">
        <v>2023</v>
      </c>
      <c r="F468" s="42" t="s">
        <v>465</v>
      </c>
      <c r="G468" s="37" t="s">
        <v>466</v>
      </c>
      <c r="H468" s="34">
        <v>14</v>
      </c>
      <c r="I468" s="50">
        <v>251</v>
      </c>
      <c r="J468" s="1">
        <f t="shared" si="7"/>
        <v>7028</v>
      </c>
      <c r="K468">
        <f>J468*Emission_factor!$C$48</f>
        <v>4166.1984000000002</v>
      </c>
    </row>
    <row r="469" spans="1:11" x14ac:dyDescent="0.25">
      <c r="A469" s="1">
        <v>468</v>
      </c>
      <c r="B469" s="1" t="s">
        <v>72</v>
      </c>
      <c r="C469" s="1" t="s">
        <v>412</v>
      </c>
      <c r="D469" s="1" t="s">
        <v>153</v>
      </c>
      <c r="E469" s="1">
        <v>2023</v>
      </c>
      <c r="F469" s="37" t="s">
        <v>467</v>
      </c>
      <c r="G469" s="37" t="s">
        <v>468</v>
      </c>
      <c r="H469" s="34">
        <v>112</v>
      </c>
      <c r="I469" s="50">
        <v>67.3</v>
      </c>
      <c r="J469" s="1">
        <f t="shared" si="7"/>
        <v>15075.199999999999</v>
      </c>
      <c r="K469">
        <f>J469*Emission_factor!$C$48</f>
        <v>8936.5785599999999</v>
      </c>
    </row>
    <row r="470" spans="1:11" x14ac:dyDescent="0.25">
      <c r="A470" s="1">
        <v>469</v>
      </c>
      <c r="B470" s="1" t="s">
        <v>72</v>
      </c>
      <c r="C470" s="1" t="s">
        <v>412</v>
      </c>
      <c r="D470" s="1" t="s">
        <v>153</v>
      </c>
      <c r="E470" s="1">
        <v>2023</v>
      </c>
      <c r="F470" s="42" t="s">
        <v>422</v>
      </c>
      <c r="G470" s="37" t="s">
        <v>423</v>
      </c>
      <c r="H470" s="34">
        <v>1</v>
      </c>
      <c r="I470" s="50">
        <v>47.1</v>
      </c>
      <c r="J470" s="1">
        <f t="shared" si="7"/>
        <v>94.2</v>
      </c>
      <c r="K470">
        <f>J470*Emission_factor!$C$48</f>
        <v>55.841760000000001</v>
      </c>
    </row>
    <row r="471" spans="1:11" x14ac:dyDescent="0.25">
      <c r="A471" s="1">
        <v>470</v>
      </c>
      <c r="B471" s="1" t="s">
        <v>72</v>
      </c>
      <c r="C471" s="1" t="s">
        <v>412</v>
      </c>
      <c r="D471" s="1" t="s">
        <v>153</v>
      </c>
      <c r="E471" s="1">
        <v>2023</v>
      </c>
      <c r="F471" s="42" t="s">
        <v>465</v>
      </c>
      <c r="G471" s="37" t="s">
        <v>466</v>
      </c>
      <c r="H471" s="34">
        <v>18</v>
      </c>
      <c r="I471" s="50">
        <v>251</v>
      </c>
      <c r="J471" s="1">
        <f t="shared" si="7"/>
        <v>9036</v>
      </c>
      <c r="K471">
        <f>J471*Emission_factor!$C$48</f>
        <v>5356.5407999999998</v>
      </c>
    </row>
    <row r="472" spans="1:11" x14ac:dyDescent="0.25">
      <c r="A472" s="1">
        <v>471</v>
      </c>
      <c r="B472" s="1" t="s">
        <v>72</v>
      </c>
      <c r="C472" s="1" t="s">
        <v>412</v>
      </c>
      <c r="D472" s="1" t="s">
        <v>153</v>
      </c>
      <c r="E472" s="1">
        <v>2023</v>
      </c>
      <c r="F472" s="42" t="s">
        <v>436</v>
      </c>
      <c r="G472" s="37" t="s">
        <v>437</v>
      </c>
      <c r="H472" s="34">
        <v>16</v>
      </c>
      <c r="I472" s="50">
        <v>73</v>
      </c>
      <c r="J472" s="1">
        <f t="shared" si="7"/>
        <v>2336</v>
      </c>
      <c r="K472">
        <f>J472*Emission_factor!$C$48</f>
        <v>1384.7808</v>
      </c>
    </row>
    <row r="473" spans="1:11" x14ac:dyDescent="0.25">
      <c r="A473" s="1">
        <v>472</v>
      </c>
      <c r="B473" s="1" t="s">
        <v>72</v>
      </c>
      <c r="C473" s="1" t="s">
        <v>412</v>
      </c>
      <c r="D473" s="1" t="s">
        <v>153</v>
      </c>
      <c r="E473" s="1">
        <v>2023</v>
      </c>
      <c r="F473" s="42" t="s">
        <v>416</v>
      </c>
      <c r="G473" s="37" t="s">
        <v>421</v>
      </c>
      <c r="H473" s="34">
        <v>16</v>
      </c>
      <c r="I473" s="50">
        <v>51</v>
      </c>
      <c r="J473" s="1">
        <f t="shared" si="7"/>
        <v>1632</v>
      </c>
      <c r="K473">
        <f>J473*Emission_factor!$C$48</f>
        <v>967.44960000000003</v>
      </c>
    </row>
    <row r="474" spans="1:11" x14ac:dyDescent="0.25">
      <c r="A474" s="1">
        <v>473</v>
      </c>
      <c r="B474" s="1" t="s">
        <v>72</v>
      </c>
      <c r="C474" s="1" t="s">
        <v>412</v>
      </c>
      <c r="D474" s="1" t="s">
        <v>153</v>
      </c>
      <c r="E474" s="1">
        <v>2023</v>
      </c>
      <c r="F474" s="42" t="s">
        <v>436</v>
      </c>
      <c r="G474" s="37" t="s">
        <v>437</v>
      </c>
      <c r="H474" s="34">
        <v>8</v>
      </c>
      <c r="I474" s="50">
        <v>73</v>
      </c>
      <c r="J474" s="1">
        <f t="shared" si="7"/>
        <v>1168</v>
      </c>
      <c r="K474">
        <f>J474*Emission_factor!$C$48</f>
        <v>692.3904</v>
      </c>
    </row>
    <row r="475" spans="1:11" x14ac:dyDescent="0.25">
      <c r="A475" s="1">
        <v>474</v>
      </c>
      <c r="B475" s="1" t="s">
        <v>72</v>
      </c>
      <c r="C475" s="1" t="s">
        <v>412</v>
      </c>
      <c r="D475" s="1" t="s">
        <v>153</v>
      </c>
      <c r="E475" s="1">
        <v>2023</v>
      </c>
      <c r="F475" s="42" t="s">
        <v>416</v>
      </c>
      <c r="G475" s="37" t="s">
        <v>421</v>
      </c>
      <c r="H475" s="34">
        <v>8</v>
      </c>
      <c r="I475" s="50">
        <v>51</v>
      </c>
      <c r="J475" s="1">
        <f t="shared" si="7"/>
        <v>816</v>
      </c>
      <c r="K475">
        <f>J475*Emission_factor!$C$48</f>
        <v>483.72480000000002</v>
      </c>
    </row>
    <row r="476" spans="1:11" x14ac:dyDescent="0.25">
      <c r="A476" s="1">
        <v>475</v>
      </c>
      <c r="B476" s="1" t="s">
        <v>72</v>
      </c>
      <c r="C476" s="1" t="s">
        <v>412</v>
      </c>
      <c r="D476" s="1" t="s">
        <v>153</v>
      </c>
      <c r="E476" s="1">
        <v>2023</v>
      </c>
      <c r="F476" s="37" t="s">
        <v>422</v>
      </c>
      <c r="G476" s="37" t="s">
        <v>423</v>
      </c>
      <c r="H476" s="34">
        <v>8</v>
      </c>
      <c r="I476" s="50">
        <v>47.1</v>
      </c>
      <c r="J476" s="1">
        <f t="shared" si="7"/>
        <v>753.6</v>
      </c>
      <c r="K476">
        <f>J476*Emission_factor!$C$48</f>
        <v>446.73408000000001</v>
      </c>
    </row>
    <row r="477" spans="1:11" x14ac:dyDescent="0.25">
      <c r="A477" s="1">
        <v>476</v>
      </c>
      <c r="B477" s="1" t="s">
        <v>72</v>
      </c>
      <c r="C477" s="1" t="s">
        <v>412</v>
      </c>
      <c r="D477" s="1" t="s">
        <v>153</v>
      </c>
      <c r="E477" s="1">
        <v>2023</v>
      </c>
      <c r="F477" s="37" t="s">
        <v>446</v>
      </c>
      <c r="G477" s="37" t="s">
        <v>447</v>
      </c>
      <c r="H477" s="34">
        <v>8</v>
      </c>
      <c r="I477" s="50">
        <v>65.5</v>
      </c>
      <c r="J477" s="1">
        <f t="shared" si="7"/>
        <v>1048</v>
      </c>
      <c r="K477">
        <f>J477*Emission_factor!$C$48</f>
        <v>621.25440000000003</v>
      </c>
    </row>
    <row r="478" spans="1:11" x14ac:dyDescent="0.25">
      <c r="A478" s="1">
        <v>477</v>
      </c>
      <c r="B478" s="1" t="s">
        <v>72</v>
      </c>
      <c r="C478" s="1" t="s">
        <v>412</v>
      </c>
      <c r="D478" s="1" t="s">
        <v>153</v>
      </c>
      <c r="E478" s="1">
        <v>2023</v>
      </c>
      <c r="F478" s="37" t="s">
        <v>422</v>
      </c>
      <c r="G478" s="37" t="s">
        <v>423</v>
      </c>
      <c r="H478" s="34">
        <v>75</v>
      </c>
      <c r="I478" s="50">
        <v>47.1</v>
      </c>
      <c r="J478" s="1">
        <f t="shared" si="7"/>
        <v>7065</v>
      </c>
      <c r="K478">
        <f>J478*Emission_factor!$C$48</f>
        <v>4188.1319999999996</v>
      </c>
    </row>
    <row r="479" spans="1:11" x14ac:dyDescent="0.25">
      <c r="A479" s="1">
        <v>478</v>
      </c>
      <c r="B479" s="1" t="s">
        <v>72</v>
      </c>
      <c r="C479" s="1" t="s">
        <v>412</v>
      </c>
      <c r="D479" s="1" t="s">
        <v>154</v>
      </c>
      <c r="E479" s="1">
        <v>2024</v>
      </c>
      <c r="F479" s="26" t="s">
        <v>436</v>
      </c>
      <c r="G479" s="26" t="s">
        <v>437</v>
      </c>
      <c r="H479" s="26">
        <v>1</v>
      </c>
      <c r="I479" s="49">
        <v>73</v>
      </c>
      <c r="J479" s="1">
        <f t="shared" si="7"/>
        <v>146</v>
      </c>
      <c r="K479">
        <f>J479*Emission_factor!$C$48</f>
        <v>86.5488</v>
      </c>
    </row>
    <row r="480" spans="1:11" x14ac:dyDescent="0.25">
      <c r="A480" s="1">
        <v>479</v>
      </c>
      <c r="B480" s="1" t="s">
        <v>72</v>
      </c>
      <c r="C480" s="1" t="s">
        <v>412</v>
      </c>
      <c r="D480" s="1" t="s">
        <v>154</v>
      </c>
      <c r="E480" s="1">
        <v>2024</v>
      </c>
      <c r="F480" s="26" t="s">
        <v>424</v>
      </c>
      <c r="G480" s="26" t="s">
        <v>425</v>
      </c>
      <c r="H480" s="26">
        <v>59</v>
      </c>
      <c r="I480" s="49">
        <v>116</v>
      </c>
      <c r="J480" s="1">
        <f t="shared" si="7"/>
        <v>13688</v>
      </c>
      <c r="K480">
        <f>J480*Emission_factor!$C$48</f>
        <v>8114.2464</v>
      </c>
    </row>
    <row r="481" spans="1:11" x14ac:dyDescent="0.25">
      <c r="A481" s="1">
        <v>480</v>
      </c>
      <c r="B481" s="1" t="s">
        <v>72</v>
      </c>
      <c r="C481" s="1" t="s">
        <v>412</v>
      </c>
      <c r="D481" s="1" t="s">
        <v>154</v>
      </c>
      <c r="E481" s="1">
        <v>2024</v>
      </c>
      <c r="F481" s="26" t="s">
        <v>426</v>
      </c>
      <c r="G481" s="26" t="s">
        <v>427</v>
      </c>
      <c r="H481" s="26">
        <v>16</v>
      </c>
      <c r="I481" s="49">
        <v>168</v>
      </c>
      <c r="J481" s="1">
        <f t="shared" si="7"/>
        <v>5376</v>
      </c>
      <c r="K481">
        <f>J481*Emission_factor!$C$48</f>
        <v>3186.8928000000001</v>
      </c>
    </row>
    <row r="482" spans="1:11" x14ac:dyDescent="0.25">
      <c r="A482" s="1">
        <v>481</v>
      </c>
      <c r="B482" s="1" t="s">
        <v>72</v>
      </c>
      <c r="C482" s="1" t="s">
        <v>412</v>
      </c>
      <c r="D482" s="1" t="s">
        <v>154</v>
      </c>
      <c r="E482" s="1">
        <v>2024</v>
      </c>
      <c r="F482" s="26" t="s">
        <v>422</v>
      </c>
      <c r="G482" s="26" t="s">
        <v>423</v>
      </c>
      <c r="H482" s="26">
        <v>16</v>
      </c>
      <c r="I482" s="49">
        <v>47.1</v>
      </c>
      <c r="J482" s="1">
        <f t="shared" si="7"/>
        <v>1507.2</v>
      </c>
      <c r="K482">
        <f>J482*Emission_factor!$C$48</f>
        <v>893.46816000000001</v>
      </c>
    </row>
    <row r="483" spans="1:11" x14ac:dyDescent="0.25">
      <c r="A483" s="1">
        <v>482</v>
      </c>
      <c r="B483" s="1" t="s">
        <v>72</v>
      </c>
      <c r="C483" s="1" t="s">
        <v>412</v>
      </c>
      <c r="D483" s="1" t="s">
        <v>154</v>
      </c>
      <c r="E483" s="1">
        <v>2024</v>
      </c>
      <c r="F483" s="26" t="s">
        <v>448</v>
      </c>
      <c r="G483" s="26" t="s">
        <v>449</v>
      </c>
      <c r="H483" s="26">
        <v>8</v>
      </c>
      <c r="I483" s="49">
        <v>129</v>
      </c>
      <c r="J483" s="1">
        <f t="shared" si="7"/>
        <v>2064</v>
      </c>
      <c r="K483">
        <f>J483*Emission_factor!$C$48</f>
        <v>1223.5391999999999</v>
      </c>
    </row>
    <row r="484" spans="1:11" x14ac:dyDescent="0.25">
      <c r="A484" s="1">
        <v>483</v>
      </c>
      <c r="B484" s="1" t="s">
        <v>72</v>
      </c>
      <c r="C484" s="1" t="s">
        <v>412</v>
      </c>
      <c r="D484" s="1" t="s">
        <v>154</v>
      </c>
      <c r="E484" s="1">
        <v>2024</v>
      </c>
      <c r="F484" s="26" t="s">
        <v>428</v>
      </c>
      <c r="G484" s="26" t="s">
        <v>429</v>
      </c>
      <c r="H484" s="26">
        <v>8</v>
      </c>
      <c r="I484" s="49">
        <v>29.4</v>
      </c>
      <c r="J484" s="1">
        <f t="shared" si="7"/>
        <v>470.4</v>
      </c>
      <c r="K484">
        <f>J484*Emission_factor!$C$48</f>
        <v>278.85311999999999</v>
      </c>
    </row>
    <row r="485" spans="1:11" x14ac:dyDescent="0.25">
      <c r="A485" s="1">
        <v>484</v>
      </c>
      <c r="B485" s="1" t="s">
        <v>72</v>
      </c>
      <c r="C485" s="1" t="s">
        <v>412</v>
      </c>
      <c r="D485" s="1" t="s">
        <v>154</v>
      </c>
      <c r="E485" s="1">
        <v>2024</v>
      </c>
      <c r="F485" s="26" t="s">
        <v>422</v>
      </c>
      <c r="G485" s="26" t="s">
        <v>423</v>
      </c>
      <c r="H485" s="26">
        <v>1</v>
      </c>
      <c r="I485" s="49">
        <v>47.1</v>
      </c>
      <c r="J485" s="1">
        <f t="shared" si="7"/>
        <v>94.2</v>
      </c>
      <c r="K485">
        <f>J485*Emission_factor!$C$48</f>
        <v>55.841760000000001</v>
      </c>
    </row>
    <row r="486" spans="1:11" x14ac:dyDescent="0.25">
      <c r="A486" s="1">
        <v>485</v>
      </c>
      <c r="B486" s="1" t="s">
        <v>72</v>
      </c>
      <c r="C486" s="1" t="s">
        <v>412</v>
      </c>
      <c r="D486" s="1" t="s">
        <v>154</v>
      </c>
      <c r="E486" s="1">
        <v>2024</v>
      </c>
      <c r="F486" s="26" t="s">
        <v>416</v>
      </c>
      <c r="G486" s="26" t="s">
        <v>421</v>
      </c>
      <c r="H486" s="26">
        <v>16</v>
      </c>
      <c r="I486" s="49">
        <v>51</v>
      </c>
      <c r="J486" s="1">
        <f t="shared" si="7"/>
        <v>1632</v>
      </c>
      <c r="K486">
        <f>J486*Emission_factor!$C$48</f>
        <v>967.44960000000003</v>
      </c>
    </row>
    <row r="487" spans="1:11" x14ac:dyDescent="0.25">
      <c r="A487" s="1">
        <v>486</v>
      </c>
      <c r="B487" s="1" t="s">
        <v>72</v>
      </c>
      <c r="C487" s="1" t="s">
        <v>412</v>
      </c>
      <c r="D487" s="1" t="s">
        <v>154</v>
      </c>
      <c r="E487" s="1">
        <v>2024</v>
      </c>
      <c r="F487" s="26" t="s">
        <v>428</v>
      </c>
      <c r="G487" s="26" t="s">
        <v>429</v>
      </c>
      <c r="H487" s="26">
        <v>8</v>
      </c>
      <c r="I487" s="49">
        <v>29.4</v>
      </c>
      <c r="J487" s="1">
        <f t="shared" si="7"/>
        <v>470.4</v>
      </c>
      <c r="K487">
        <f>J487*Emission_factor!$C$48</f>
        <v>278.85311999999999</v>
      </c>
    </row>
    <row r="488" spans="1:11" x14ac:dyDescent="0.25">
      <c r="A488" s="1">
        <v>487</v>
      </c>
      <c r="B488" s="1" t="s">
        <v>72</v>
      </c>
      <c r="C488" s="1" t="s">
        <v>412</v>
      </c>
      <c r="D488" s="1" t="s">
        <v>154</v>
      </c>
      <c r="E488" s="1">
        <v>2024</v>
      </c>
      <c r="F488" s="26" t="s">
        <v>416</v>
      </c>
      <c r="G488" s="26" t="s">
        <v>421</v>
      </c>
      <c r="H488" s="26">
        <v>1</v>
      </c>
      <c r="I488" s="49">
        <v>51</v>
      </c>
      <c r="J488" s="1">
        <f t="shared" si="7"/>
        <v>102</v>
      </c>
      <c r="K488">
        <f>J488*Emission_factor!$C$48</f>
        <v>60.465600000000002</v>
      </c>
    </row>
    <row r="489" spans="1:11" x14ac:dyDescent="0.25">
      <c r="A489" s="1">
        <v>488</v>
      </c>
      <c r="B489" s="1" t="s">
        <v>72</v>
      </c>
      <c r="C489" s="1" t="s">
        <v>412</v>
      </c>
      <c r="D489" s="1" t="s">
        <v>154</v>
      </c>
      <c r="E489" s="1">
        <v>2024</v>
      </c>
      <c r="F489" s="26" t="s">
        <v>436</v>
      </c>
      <c r="G489" s="26" t="s">
        <v>437</v>
      </c>
      <c r="H489" s="26">
        <v>16</v>
      </c>
      <c r="I489" s="49">
        <v>73</v>
      </c>
      <c r="J489" s="1">
        <f t="shared" si="7"/>
        <v>2336</v>
      </c>
      <c r="K489">
        <f>J489*Emission_factor!$C$48</f>
        <v>1384.7808</v>
      </c>
    </row>
    <row r="490" spans="1:11" x14ac:dyDescent="0.25">
      <c r="A490" s="1">
        <v>489</v>
      </c>
      <c r="B490" s="1" t="s">
        <v>72</v>
      </c>
      <c r="C490" s="1" t="s">
        <v>412</v>
      </c>
      <c r="D490" s="1" t="s">
        <v>154</v>
      </c>
      <c r="E490" s="1">
        <v>2024</v>
      </c>
      <c r="F490" s="26" t="s">
        <v>446</v>
      </c>
      <c r="G490" s="26" t="s">
        <v>447</v>
      </c>
      <c r="H490" s="26">
        <v>8</v>
      </c>
      <c r="I490" s="49">
        <v>65.5</v>
      </c>
      <c r="J490" s="1">
        <f t="shared" si="7"/>
        <v>1048</v>
      </c>
      <c r="K490">
        <f>J490*Emission_factor!$C$48</f>
        <v>621.25440000000003</v>
      </c>
    </row>
    <row r="491" spans="1:11" x14ac:dyDescent="0.25">
      <c r="A491" s="1">
        <v>490</v>
      </c>
      <c r="B491" s="1" t="s">
        <v>72</v>
      </c>
      <c r="C491" s="1" t="s">
        <v>412</v>
      </c>
      <c r="D491" s="45" t="s">
        <v>155</v>
      </c>
      <c r="E491" s="1">
        <v>2024</v>
      </c>
      <c r="F491" s="38" t="s">
        <v>436</v>
      </c>
      <c r="G491" s="38" t="s">
        <v>437</v>
      </c>
      <c r="H491" s="38">
        <v>25</v>
      </c>
      <c r="I491">
        <v>73</v>
      </c>
      <c r="J491" s="1">
        <f t="shared" si="7"/>
        <v>3650</v>
      </c>
      <c r="K491">
        <f>J491*Emission_factor!$C$48</f>
        <v>2163.7199999999998</v>
      </c>
    </row>
    <row r="492" spans="1:11" x14ac:dyDescent="0.25">
      <c r="A492" s="1">
        <v>491</v>
      </c>
      <c r="B492" s="1" t="s">
        <v>72</v>
      </c>
      <c r="C492" s="1" t="s">
        <v>412</v>
      </c>
      <c r="D492" s="45" t="s">
        <v>155</v>
      </c>
      <c r="E492" s="1">
        <v>2024</v>
      </c>
      <c r="F492" s="26" t="s">
        <v>436</v>
      </c>
      <c r="G492" s="26" t="s">
        <v>437</v>
      </c>
      <c r="H492" s="26">
        <v>1</v>
      </c>
      <c r="I492" s="53">
        <v>73</v>
      </c>
      <c r="J492" s="1">
        <f t="shared" si="7"/>
        <v>146</v>
      </c>
      <c r="K492">
        <f>J492*Emission_factor!$C$48</f>
        <v>86.5488</v>
      </c>
    </row>
    <row r="493" spans="1:11" x14ac:dyDescent="0.25">
      <c r="A493" s="1">
        <v>492</v>
      </c>
      <c r="B493" s="1" t="s">
        <v>72</v>
      </c>
      <c r="C493" s="1" t="s">
        <v>412</v>
      </c>
      <c r="D493" s="45" t="s">
        <v>155</v>
      </c>
      <c r="E493" s="1">
        <v>2024</v>
      </c>
      <c r="F493" s="26" t="s">
        <v>426</v>
      </c>
      <c r="G493" s="26" t="s">
        <v>427</v>
      </c>
      <c r="H493" s="26">
        <v>8</v>
      </c>
      <c r="I493" s="53">
        <v>168</v>
      </c>
      <c r="J493" s="1">
        <f t="shared" si="7"/>
        <v>2688</v>
      </c>
      <c r="K493">
        <f>J493*Emission_factor!$C$48</f>
        <v>1593.4464</v>
      </c>
    </row>
    <row r="494" spans="1:11" x14ac:dyDescent="0.25">
      <c r="A494" s="1">
        <v>493</v>
      </c>
      <c r="B494" s="1" t="s">
        <v>72</v>
      </c>
      <c r="C494" s="1" t="s">
        <v>412</v>
      </c>
      <c r="D494" s="45" t="s">
        <v>155</v>
      </c>
      <c r="E494" s="1">
        <v>2024</v>
      </c>
      <c r="F494" s="26" t="s">
        <v>422</v>
      </c>
      <c r="G494" s="26" t="s">
        <v>423</v>
      </c>
      <c r="H494" s="26">
        <v>25</v>
      </c>
      <c r="I494" s="53">
        <v>47.1</v>
      </c>
      <c r="J494" s="1">
        <f t="shared" si="7"/>
        <v>2355</v>
      </c>
      <c r="K494">
        <f>J494*Emission_factor!$C$48</f>
        <v>1396.0440000000001</v>
      </c>
    </row>
    <row r="495" spans="1:11" x14ac:dyDescent="0.25">
      <c r="A495" s="1">
        <v>494</v>
      </c>
      <c r="B495" s="1" t="s">
        <v>72</v>
      </c>
      <c r="C495" s="1" t="s">
        <v>412</v>
      </c>
      <c r="D495" s="45" t="s">
        <v>155</v>
      </c>
      <c r="E495" s="1">
        <v>2024</v>
      </c>
      <c r="F495" s="26" t="s">
        <v>413</v>
      </c>
      <c r="G495" s="26" t="s">
        <v>417</v>
      </c>
      <c r="H495" s="26">
        <v>31</v>
      </c>
      <c r="I495" s="53">
        <v>28.1</v>
      </c>
      <c r="J495" s="1">
        <f t="shared" si="7"/>
        <v>1742.2</v>
      </c>
      <c r="K495">
        <f>J495*Emission_factor!$C$48</f>
        <v>1032.7761600000001</v>
      </c>
    </row>
    <row r="496" spans="1:11" x14ac:dyDescent="0.25">
      <c r="A496" s="1">
        <v>495</v>
      </c>
      <c r="B496" s="1" t="s">
        <v>72</v>
      </c>
      <c r="C496" s="1" t="s">
        <v>412</v>
      </c>
      <c r="D496" s="45" t="s">
        <v>155</v>
      </c>
      <c r="E496" s="1">
        <v>2024</v>
      </c>
      <c r="F496" s="26" t="s">
        <v>422</v>
      </c>
      <c r="G496" s="26" t="s">
        <v>423</v>
      </c>
      <c r="H496" s="26">
        <v>58</v>
      </c>
      <c r="I496" s="53">
        <v>47.1</v>
      </c>
      <c r="J496" s="1">
        <f t="shared" si="7"/>
        <v>5463.6</v>
      </c>
      <c r="K496">
        <f>J496*Emission_factor!$C$48</f>
        <v>3238.8220800000004</v>
      </c>
    </row>
    <row r="497" spans="1:11" x14ac:dyDescent="0.25">
      <c r="A497" s="1">
        <v>496</v>
      </c>
      <c r="B497" s="1" t="s">
        <v>72</v>
      </c>
      <c r="C497" s="1" t="s">
        <v>412</v>
      </c>
      <c r="D497" s="45" t="s">
        <v>155</v>
      </c>
      <c r="E497" s="1">
        <v>2024</v>
      </c>
      <c r="F497" s="26" t="s">
        <v>426</v>
      </c>
      <c r="G497" s="26" t="s">
        <v>427</v>
      </c>
      <c r="H497" s="26">
        <v>8</v>
      </c>
      <c r="I497" s="53">
        <v>168</v>
      </c>
      <c r="J497" s="1">
        <f t="shared" si="7"/>
        <v>2688</v>
      </c>
      <c r="K497">
        <f>J497*Emission_factor!$C$48</f>
        <v>1593.4464</v>
      </c>
    </row>
    <row r="498" spans="1:11" x14ac:dyDescent="0.25">
      <c r="A498" s="1">
        <v>497</v>
      </c>
      <c r="B498" s="1" t="s">
        <v>72</v>
      </c>
      <c r="C498" s="1" t="s">
        <v>412</v>
      </c>
      <c r="D498" s="45" t="s">
        <v>155</v>
      </c>
      <c r="E498" s="1">
        <v>2024</v>
      </c>
      <c r="F498" s="26" t="s">
        <v>422</v>
      </c>
      <c r="G498" s="26" t="s">
        <v>423</v>
      </c>
      <c r="H498" s="26">
        <v>50</v>
      </c>
      <c r="I498" s="53">
        <v>47.1</v>
      </c>
      <c r="J498" s="1">
        <f t="shared" si="7"/>
        <v>4710</v>
      </c>
      <c r="K498">
        <f>J498*Emission_factor!$C$48</f>
        <v>2792.0880000000002</v>
      </c>
    </row>
    <row r="499" spans="1:11" x14ac:dyDescent="0.25">
      <c r="A499" s="1">
        <v>498</v>
      </c>
      <c r="B499" s="1" t="s">
        <v>72</v>
      </c>
      <c r="C499" s="1" t="s">
        <v>412</v>
      </c>
      <c r="D499" s="45" t="s">
        <v>155</v>
      </c>
      <c r="E499" s="1">
        <v>2024</v>
      </c>
      <c r="F499" s="26" t="s">
        <v>416</v>
      </c>
      <c r="G499" s="26" t="s">
        <v>421</v>
      </c>
      <c r="H499" s="26">
        <v>150</v>
      </c>
      <c r="I499" s="53">
        <v>51</v>
      </c>
      <c r="J499" s="1">
        <f t="shared" si="7"/>
        <v>15300</v>
      </c>
      <c r="K499">
        <f>J499*Emission_factor!$C$48</f>
        <v>9069.84</v>
      </c>
    </row>
    <row r="500" spans="1:11" x14ac:dyDescent="0.25">
      <c r="A500" s="1">
        <v>499</v>
      </c>
      <c r="B500" s="1" t="s">
        <v>72</v>
      </c>
      <c r="C500" s="1" t="s">
        <v>412</v>
      </c>
      <c r="D500" s="45" t="s">
        <v>155</v>
      </c>
      <c r="E500" s="1">
        <v>2024</v>
      </c>
      <c r="F500" s="26" t="s">
        <v>462</v>
      </c>
      <c r="G500" s="26" t="s">
        <v>469</v>
      </c>
      <c r="H500" s="26">
        <v>50</v>
      </c>
      <c r="I500" s="53">
        <v>96.4</v>
      </c>
      <c r="J500" s="1">
        <f t="shared" si="7"/>
        <v>9640</v>
      </c>
      <c r="K500">
        <f>J500*Emission_factor!$C$48</f>
        <v>5714.5919999999996</v>
      </c>
    </row>
    <row r="501" spans="1:11" x14ac:dyDescent="0.25">
      <c r="A501" s="1">
        <v>500</v>
      </c>
      <c r="B501" s="1" t="s">
        <v>72</v>
      </c>
      <c r="C501" s="1" t="s">
        <v>412</v>
      </c>
      <c r="D501" s="45" t="s">
        <v>155</v>
      </c>
      <c r="E501" s="1">
        <v>2024</v>
      </c>
      <c r="F501" s="26" t="s">
        <v>422</v>
      </c>
      <c r="G501" s="26" t="s">
        <v>423</v>
      </c>
      <c r="H501" s="26">
        <v>49</v>
      </c>
      <c r="I501" s="53">
        <v>47.1</v>
      </c>
      <c r="J501" s="1">
        <f t="shared" si="7"/>
        <v>4615.8</v>
      </c>
      <c r="K501">
        <f>J501*Emission_factor!$C$48</f>
        <v>2736.2462399999999</v>
      </c>
    </row>
    <row r="502" spans="1:11" x14ac:dyDescent="0.25">
      <c r="A502" s="1">
        <v>501</v>
      </c>
      <c r="B502" s="1" t="s">
        <v>72</v>
      </c>
      <c r="C502" s="1" t="s">
        <v>412</v>
      </c>
      <c r="D502" s="45" t="s">
        <v>155</v>
      </c>
      <c r="E502" s="1">
        <v>2024</v>
      </c>
      <c r="F502" s="26" t="s">
        <v>416</v>
      </c>
      <c r="G502" s="26" t="s">
        <v>421</v>
      </c>
      <c r="H502" s="26">
        <v>110</v>
      </c>
      <c r="I502" s="53">
        <v>51</v>
      </c>
      <c r="J502" s="1">
        <f t="shared" si="7"/>
        <v>11220</v>
      </c>
      <c r="K502">
        <f>J502*Emission_factor!$C$48</f>
        <v>6651.2160000000003</v>
      </c>
    </row>
    <row r="503" spans="1:11" x14ac:dyDescent="0.25">
      <c r="A503" s="1">
        <v>502</v>
      </c>
      <c r="B503" s="1" t="s">
        <v>72</v>
      </c>
      <c r="C503" s="1" t="s">
        <v>412</v>
      </c>
      <c r="D503" s="45" t="s">
        <v>155</v>
      </c>
      <c r="E503" s="1">
        <v>2024</v>
      </c>
      <c r="F503" s="26" t="s">
        <v>462</v>
      </c>
      <c r="G503" s="26" t="s">
        <v>469</v>
      </c>
      <c r="H503" s="26">
        <v>13</v>
      </c>
      <c r="I503" s="53">
        <v>96.4</v>
      </c>
      <c r="J503" s="1">
        <f t="shared" si="7"/>
        <v>2506.4</v>
      </c>
      <c r="K503">
        <f>J503*Emission_factor!$C$48</f>
        <v>1485.7939200000001</v>
      </c>
    </row>
    <row r="504" spans="1:11" x14ac:dyDescent="0.25">
      <c r="A504" s="1">
        <v>503</v>
      </c>
      <c r="B504" s="1" t="s">
        <v>72</v>
      </c>
      <c r="C504" s="1" t="s">
        <v>412</v>
      </c>
      <c r="D504" s="45" t="s">
        <v>155</v>
      </c>
      <c r="E504" s="1">
        <v>2024</v>
      </c>
      <c r="F504" s="26" t="s">
        <v>433</v>
      </c>
      <c r="G504" s="26" t="s">
        <v>420</v>
      </c>
      <c r="H504" s="26">
        <v>17</v>
      </c>
      <c r="I504" s="53">
        <v>96</v>
      </c>
      <c r="J504" s="1">
        <f t="shared" si="7"/>
        <v>3264</v>
      </c>
      <c r="K504">
        <f>J504*Emission_factor!$C$48</f>
        <v>1934.8992000000001</v>
      </c>
    </row>
    <row r="505" spans="1:11" x14ac:dyDescent="0.25">
      <c r="A505" s="1">
        <v>504</v>
      </c>
      <c r="B505" s="1" t="s">
        <v>72</v>
      </c>
      <c r="C505" s="1" t="s">
        <v>412</v>
      </c>
      <c r="D505" s="45" t="s">
        <v>155</v>
      </c>
      <c r="E505" s="1">
        <v>2024</v>
      </c>
      <c r="F505" s="26" t="s">
        <v>415</v>
      </c>
      <c r="G505" s="26" t="s">
        <v>434</v>
      </c>
      <c r="H505" s="26">
        <v>8</v>
      </c>
      <c r="I505" s="53">
        <v>29.4</v>
      </c>
      <c r="J505" s="1">
        <f t="shared" si="7"/>
        <v>470.4</v>
      </c>
      <c r="K505">
        <f>J505*Emission_factor!$C$48</f>
        <v>278.85311999999999</v>
      </c>
    </row>
    <row r="506" spans="1:11" x14ac:dyDescent="0.25">
      <c r="A506" s="1">
        <v>505</v>
      </c>
      <c r="B506" s="1" t="s">
        <v>72</v>
      </c>
      <c r="C506" s="1" t="s">
        <v>412</v>
      </c>
      <c r="D506" s="45" t="s">
        <v>155</v>
      </c>
      <c r="E506" s="1">
        <v>2024</v>
      </c>
      <c r="F506" s="26" t="s">
        <v>462</v>
      </c>
      <c r="G506" s="26" t="s">
        <v>469</v>
      </c>
      <c r="H506" s="26">
        <v>63</v>
      </c>
      <c r="I506" s="53">
        <v>96.4</v>
      </c>
      <c r="J506" s="1">
        <f t="shared" si="7"/>
        <v>12146.400000000001</v>
      </c>
      <c r="K506">
        <f>J506*Emission_factor!$C$48</f>
        <v>7200.3859200000006</v>
      </c>
    </row>
    <row r="507" spans="1:11" x14ac:dyDescent="0.25">
      <c r="A507" s="1">
        <v>506</v>
      </c>
      <c r="B507" s="1" t="s">
        <v>72</v>
      </c>
      <c r="C507" s="1" t="s">
        <v>412</v>
      </c>
      <c r="D507" s="45" t="s">
        <v>155</v>
      </c>
      <c r="E507" s="1">
        <v>2024</v>
      </c>
      <c r="F507" s="26" t="s">
        <v>436</v>
      </c>
      <c r="G507" s="26" t="s">
        <v>437</v>
      </c>
      <c r="H507" s="26">
        <v>84</v>
      </c>
      <c r="I507" s="53">
        <v>73</v>
      </c>
      <c r="J507" s="1">
        <f t="shared" si="7"/>
        <v>12264</v>
      </c>
      <c r="K507">
        <f>J507*Emission_factor!$C$48</f>
        <v>7270.0991999999997</v>
      </c>
    </row>
    <row r="508" spans="1:11" x14ac:dyDescent="0.25">
      <c r="A508" s="1">
        <v>507</v>
      </c>
      <c r="B508" s="1" t="s">
        <v>72</v>
      </c>
      <c r="C508" s="1" t="s">
        <v>412</v>
      </c>
      <c r="D508" s="45" t="s">
        <v>155</v>
      </c>
      <c r="E508" s="1">
        <v>2024</v>
      </c>
      <c r="F508" s="26" t="s">
        <v>416</v>
      </c>
      <c r="G508" s="26" t="s">
        <v>421</v>
      </c>
      <c r="H508" s="26">
        <v>2</v>
      </c>
      <c r="I508" s="53">
        <v>51</v>
      </c>
      <c r="J508" s="1">
        <f t="shared" si="7"/>
        <v>204</v>
      </c>
      <c r="K508">
        <f>J508*Emission_factor!$C$48</f>
        <v>120.9312</v>
      </c>
    </row>
    <row r="509" spans="1:11" x14ac:dyDescent="0.25">
      <c r="A509" s="1">
        <v>508</v>
      </c>
      <c r="B509" s="1" t="s">
        <v>72</v>
      </c>
      <c r="C509" s="1" t="s">
        <v>412</v>
      </c>
      <c r="D509" s="3" t="s">
        <v>156</v>
      </c>
      <c r="E509" s="1">
        <v>2024</v>
      </c>
      <c r="F509" s="34" t="s">
        <v>413</v>
      </c>
      <c r="G509" s="37" t="s">
        <v>417</v>
      </c>
      <c r="H509" s="34">
        <v>63</v>
      </c>
      <c r="I509" s="50">
        <v>28.1</v>
      </c>
      <c r="J509" s="43">
        <f t="shared" si="7"/>
        <v>3540.6000000000004</v>
      </c>
      <c r="K509">
        <f>J509*Emission_factor!$C$48</f>
        <v>2098.8676800000003</v>
      </c>
    </row>
    <row r="510" spans="1:11" x14ac:dyDescent="0.25">
      <c r="A510" s="1">
        <v>509</v>
      </c>
      <c r="B510" s="1" t="s">
        <v>72</v>
      </c>
      <c r="C510" s="1" t="s">
        <v>412</v>
      </c>
      <c r="D510" s="3" t="s">
        <v>156</v>
      </c>
      <c r="E510" s="1">
        <v>2024</v>
      </c>
      <c r="F510" s="34" t="s">
        <v>422</v>
      </c>
      <c r="G510" s="37" t="s">
        <v>423</v>
      </c>
      <c r="H510" s="34">
        <v>49</v>
      </c>
      <c r="I510" s="50">
        <v>47.1</v>
      </c>
      <c r="J510" s="43">
        <f t="shared" si="7"/>
        <v>4615.8</v>
      </c>
      <c r="K510">
        <f>J510*Emission_factor!$C$48</f>
        <v>2736.2462399999999</v>
      </c>
    </row>
    <row r="511" spans="1:11" x14ac:dyDescent="0.25">
      <c r="A511" s="1">
        <v>510</v>
      </c>
      <c r="B511" s="1" t="s">
        <v>72</v>
      </c>
      <c r="C511" s="1" t="s">
        <v>412</v>
      </c>
      <c r="D511" s="3" t="s">
        <v>156</v>
      </c>
      <c r="E511" s="1">
        <v>2024</v>
      </c>
      <c r="F511" s="34" t="s">
        <v>436</v>
      </c>
      <c r="G511" s="37" t="s">
        <v>437</v>
      </c>
      <c r="H511" s="34">
        <v>41</v>
      </c>
      <c r="I511" s="50">
        <v>73</v>
      </c>
      <c r="J511" s="43">
        <f t="shared" si="7"/>
        <v>5986</v>
      </c>
      <c r="K511">
        <f>J511*Emission_factor!$C$48</f>
        <v>3548.5007999999998</v>
      </c>
    </row>
    <row r="512" spans="1:11" x14ac:dyDescent="0.25">
      <c r="A512" s="1">
        <v>511</v>
      </c>
      <c r="B512" s="1" t="s">
        <v>72</v>
      </c>
      <c r="C512" s="1" t="s">
        <v>412</v>
      </c>
      <c r="D512" s="3" t="s">
        <v>156</v>
      </c>
      <c r="E512" s="1">
        <v>2024</v>
      </c>
      <c r="F512" s="34" t="s">
        <v>428</v>
      </c>
      <c r="G512" s="37" t="s">
        <v>470</v>
      </c>
      <c r="H512" s="34">
        <v>50</v>
      </c>
      <c r="I512" s="50">
        <v>29.4</v>
      </c>
      <c r="J512" s="43">
        <f t="shared" si="7"/>
        <v>2940</v>
      </c>
      <c r="K512">
        <f>J512*Emission_factor!$C$48</f>
        <v>1742.8319999999999</v>
      </c>
    </row>
    <row r="513" spans="1:11" x14ac:dyDescent="0.25">
      <c r="A513" s="1">
        <v>512</v>
      </c>
      <c r="B513" s="1" t="s">
        <v>72</v>
      </c>
      <c r="C513" s="1" t="s">
        <v>412</v>
      </c>
      <c r="D513" s="3" t="s">
        <v>156</v>
      </c>
      <c r="E513" s="1">
        <v>2024</v>
      </c>
      <c r="F513" s="34" t="s">
        <v>442</v>
      </c>
      <c r="G513" s="37" t="s">
        <v>443</v>
      </c>
      <c r="H513" s="34">
        <v>8</v>
      </c>
      <c r="I513" s="50">
        <v>102</v>
      </c>
      <c r="J513" s="43">
        <f t="shared" si="7"/>
        <v>1632</v>
      </c>
      <c r="K513">
        <f>J513*Emission_factor!$C$48</f>
        <v>967.44960000000003</v>
      </c>
    </row>
    <row r="514" spans="1:11" x14ac:dyDescent="0.25">
      <c r="A514" s="1">
        <v>513</v>
      </c>
      <c r="B514" s="1" t="s">
        <v>72</v>
      </c>
      <c r="C514" s="1" t="s">
        <v>412</v>
      </c>
      <c r="D514" s="3" t="s">
        <v>156</v>
      </c>
      <c r="E514" s="1">
        <v>2024</v>
      </c>
      <c r="F514" s="34" t="s">
        <v>422</v>
      </c>
      <c r="G514" s="37" t="s">
        <v>423</v>
      </c>
      <c r="H514" s="34">
        <v>50</v>
      </c>
      <c r="I514" s="50">
        <v>47.1</v>
      </c>
      <c r="J514" s="43">
        <f t="shared" si="7"/>
        <v>4710</v>
      </c>
      <c r="K514">
        <f>J514*Emission_factor!$C$48</f>
        <v>2792.0880000000002</v>
      </c>
    </row>
    <row r="515" spans="1:11" x14ac:dyDescent="0.25">
      <c r="A515" s="1">
        <v>514</v>
      </c>
      <c r="B515" s="1" t="s">
        <v>72</v>
      </c>
      <c r="C515" s="1" t="s">
        <v>412</v>
      </c>
      <c r="D515" s="3" t="s">
        <v>156</v>
      </c>
      <c r="E515" s="1">
        <v>2024</v>
      </c>
      <c r="F515" s="34" t="s">
        <v>471</v>
      </c>
      <c r="G515" s="37" t="s">
        <v>472</v>
      </c>
      <c r="H515" s="34">
        <v>83</v>
      </c>
      <c r="I515" s="50">
        <v>145</v>
      </c>
      <c r="J515" s="43">
        <f t="shared" ref="J515:J542" si="8">H515*I515*2</f>
        <v>24070</v>
      </c>
      <c r="K515">
        <f>J515*Emission_factor!$C$48</f>
        <v>14268.696</v>
      </c>
    </row>
    <row r="516" spans="1:11" x14ac:dyDescent="0.25">
      <c r="A516" s="1">
        <v>515</v>
      </c>
      <c r="B516" s="1" t="s">
        <v>72</v>
      </c>
      <c r="C516" s="1" t="s">
        <v>412</v>
      </c>
      <c r="D516" s="3" t="s">
        <v>156</v>
      </c>
      <c r="E516" s="1">
        <v>2024</v>
      </c>
      <c r="F516" s="34" t="s">
        <v>442</v>
      </c>
      <c r="G516" s="37" t="s">
        <v>443</v>
      </c>
      <c r="H516" s="34">
        <v>16</v>
      </c>
      <c r="I516" s="50">
        <v>102</v>
      </c>
      <c r="J516" s="43">
        <f t="shared" si="8"/>
        <v>3264</v>
      </c>
      <c r="K516">
        <f>J516*Emission_factor!$C$48</f>
        <v>1934.8992000000001</v>
      </c>
    </row>
    <row r="517" spans="1:11" x14ac:dyDescent="0.25">
      <c r="A517" s="1">
        <v>516</v>
      </c>
      <c r="B517" s="1" t="s">
        <v>72</v>
      </c>
      <c r="C517" s="1" t="s">
        <v>412</v>
      </c>
      <c r="D517" s="3" t="s">
        <v>156</v>
      </c>
      <c r="E517" s="1">
        <v>2024</v>
      </c>
      <c r="F517" s="36" t="s">
        <v>422</v>
      </c>
      <c r="G517" s="37" t="s">
        <v>423</v>
      </c>
      <c r="H517" s="34">
        <v>123</v>
      </c>
      <c r="I517" s="50">
        <v>47.1</v>
      </c>
      <c r="J517" s="43">
        <f>H517*I517*2</f>
        <v>11586.6</v>
      </c>
      <c r="K517">
        <f>J517*Emission_factor!$C$48</f>
        <v>6868.5364799999998</v>
      </c>
    </row>
    <row r="518" spans="1:11" x14ac:dyDescent="0.25">
      <c r="A518" s="1">
        <v>517</v>
      </c>
      <c r="B518" s="1" t="s">
        <v>72</v>
      </c>
      <c r="C518" s="1" t="s">
        <v>412</v>
      </c>
      <c r="D518" s="3" t="s">
        <v>156</v>
      </c>
      <c r="E518" s="1">
        <v>2024</v>
      </c>
      <c r="F518" s="36" t="s">
        <v>436</v>
      </c>
      <c r="G518" s="37" t="s">
        <v>437</v>
      </c>
      <c r="H518" s="34">
        <v>1</v>
      </c>
      <c r="I518" s="50">
        <v>73</v>
      </c>
      <c r="J518" s="43">
        <f t="shared" si="8"/>
        <v>146</v>
      </c>
      <c r="K518">
        <f>J518*Emission_factor!$C$48</f>
        <v>86.5488</v>
      </c>
    </row>
    <row r="519" spans="1:11" x14ac:dyDescent="0.25">
      <c r="A519" s="1">
        <v>518</v>
      </c>
      <c r="B519" s="1" t="s">
        <v>72</v>
      </c>
      <c r="C519" s="1" t="s">
        <v>412</v>
      </c>
      <c r="D519" s="3" t="s">
        <v>156</v>
      </c>
      <c r="E519" s="1">
        <v>2024</v>
      </c>
      <c r="F519" s="34" t="s">
        <v>442</v>
      </c>
      <c r="G519" s="37" t="s">
        <v>443</v>
      </c>
      <c r="H519" s="34">
        <v>1</v>
      </c>
      <c r="I519" s="50">
        <v>102</v>
      </c>
      <c r="J519" s="43">
        <f t="shared" si="8"/>
        <v>204</v>
      </c>
      <c r="K519">
        <f>J519*Emission_factor!$C$48</f>
        <v>120.9312</v>
      </c>
    </row>
    <row r="520" spans="1:11" x14ac:dyDescent="0.25">
      <c r="A520" s="1">
        <v>519</v>
      </c>
      <c r="B520" s="1" t="s">
        <v>72</v>
      </c>
      <c r="C520" s="1" t="s">
        <v>412</v>
      </c>
      <c r="D520" s="3" t="s">
        <v>156</v>
      </c>
      <c r="E520" s="1">
        <v>2024</v>
      </c>
      <c r="F520" s="34" t="s">
        <v>422</v>
      </c>
      <c r="G520" s="37" t="s">
        <v>423</v>
      </c>
      <c r="H520" s="34">
        <v>199</v>
      </c>
      <c r="I520" s="50">
        <v>47.1</v>
      </c>
      <c r="J520" s="43">
        <f t="shared" si="8"/>
        <v>18745.8</v>
      </c>
      <c r="K520">
        <f>J520*Emission_factor!$C$48</f>
        <v>11112.51024</v>
      </c>
    </row>
    <row r="521" spans="1:11" x14ac:dyDescent="0.25">
      <c r="A521" s="1">
        <v>520</v>
      </c>
      <c r="B521" s="1" t="s">
        <v>72</v>
      </c>
      <c r="C521" s="1" t="s">
        <v>412</v>
      </c>
      <c r="D521" s="3" t="s">
        <v>156</v>
      </c>
      <c r="E521" s="1">
        <v>2024</v>
      </c>
      <c r="F521" s="34" t="s">
        <v>436</v>
      </c>
      <c r="G521" s="37" t="s">
        <v>437</v>
      </c>
      <c r="H521" s="34">
        <v>1</v>
      </c>
      <c r="I521" s="50">
        <v>73</v>
      </c>
      <c r="J521" s="43">
        <f t="shared" si="8"/>
        <v>146</v>
      </c>
      <c r="K521">
        <f>J521*Emission_factor!$C$48</f>
        <v>86.5488</v>
      </c>
    </row>
    <row r="522" spans="1:11" x14ac:dyDescent="0.25">
      <c r="A522" s="1">
        <v>521</v>
      </c>
      <c r="B522" s="1" t="s">
        <v>72</v>
      </c>
      <c r="C522" s="1" t="s">
        <v>412</v>
      </c>
      <c r="D522" s="3" t="s">
        <v>156</v>
      </c>
      <c r="E522" s="1">
        <v>2024</v>
      </c>
      <c r="F522" s="34" t="s">
        <v>428</v>
      </c>
      <c r="G522" s="37" t="s">
        <v>470</v>
      </c>
      <c r="H522" s="34">
        <v>1</v>
      </c>
      <c r="I522" s="50">
        <v>29.4</v>
      </c>
      <c r="J522" s="43">
        <f t="shared" si="8"/>
        <v>58.8</v>
      </c>
      <c r="K522">
        <f>J522*Emission_factor!$C$48</f>
        <v>34.856639999999999</v>
      </c>
    </row>
    <row r="523" spans="1:11" x14ac:dyDescent="0.25">
      <c r="A523" s="1">
        <v>522</v>
      </c>
      <c r="B523" s="1" t="s">
        <v>72</v>
      </c>
      <c r="C523" s="1" t="s">
        <v>412</v>
      </c>
      <c r="D523" s="3" t="s">
        <v>156</v>
      </c>
      <c r="E523" s="1">
        <v>2024</v>
      </c>
      <c r="F523" s="36" t="s">
        <v>422</v>
      </c>
      <c r="G523" s="37" t="s">
        <v>423</v>
      </c>
      <c r="H523" s="34">
        <v>53</v>
      </c>
      <c r="I523" s="50">
        <v>47.1</v>
      </c>
      <c r="J523" s="43">
        <f t="shared" si="8"/>
        <v>4992.6000000000004</v>
      </c>
      <c r="K523">
        <f>J523*Emission_factor!$C$48</f>
        <v>2959.61328</v>
      </c>
    </row>
    <row r="524" spans="1:11" x14ac:dyDescent="0.25">
      <c r="A524" s="1">
        <v>523</v>
      </c>
      <c r="B524" s="1" t="s">
        <v>72</v>
      </c>
      <c r="C524" s="1" t="s">
        <v>412</v>
      </c>
      <c r="D524" s="3" t="s">
        <v>156</v>
      </c>
      <c r="E524" s="1">
        <v>2024</v>
      </c>
      <c r="F524" s="34" t="s">
        <v>413</v>
      </c>
      <c r="G524" s="37" t="s">
        <v>417</v>
      </c>
      <c r="H524" s="34">
        <v>46</v>
      </c>
      <c r="I524" s="50">
        <v>28.1</v>
      </c>
      <c r="J524" s="43">
        <f t="shared" si="8"/>
        <v>2585.2000000000003</v>
      </c>
      <c r="K524">
        <f>J524*Emission_factor!$C$48</f>
        <v>1532.50656</v>
      </c>
    </row>
    <row r="525" spans="1:11" x14ac:dyDescent="0.25">
      <c r="A525" s="1">
        <v>524</v>
      </c>
      <c r="B525" s="1" t="s">
        <v>72</v>
      </c>
      <c r="C525" s="1" t="s">
        <v>412</v>
      </c>
      <c r="D525" s="3" t="s">
        <v>156</v>
      </c>
      <c r="E525" s="1">
        <v>2024</v>
      </c>
      <c r="F525" s="34" t="s">
        <v>428</v>
      </c>
      <c r="G525" s="37" t="s">
        <v>470</v>
      </c>
      <c r="H525" s="34">
        <v>24</v>
      </c>
      <c r="I525" s="50">
        <v>29.4</v>
      </c>
      <c r="J525" s="43">
        <f t="shared" si="8"/>
        <v>1411.1999999999998</v>
      </c>
      <c r="K525">
        <f>J525*Emission_factor!$C$48</f>
        <v>836.55935999999986</v>
      </c>
    </row>
    <row r="526" spans="1:11" x14ac:dyDescent="0.25">
      <c r="A526" s="1">
        <v>525</v>
      </c>
      <c r="B526" s="1" t="s">
        <v>72</v>
      </c>
      <c r="C526" s="1" t="s">
        <v>412</v>
      </c>
      <c r="D526" s="3" t="s">
        <v>156</v>
      </c>
      <c r="E526" s="1">
        <v>2024</v>
      </c>
      <c r="F526" s="34" t="s">
        <v>448</v>
      </c>
      <c r="G526" s="37" t="s">
        <v>449</v>
      </c>
      <c r="H526" s="34">
        <v>8</v>
      </c>
      <c r="I526" s="50">
        <v>129</v>
      </c>
      <c r="J526" s="43">
        <f t="shared" si="8"/>
        <v>2064</v>
      </c>
      <c r="K526">
        <f>J526*Emission_factor!$C$48</f>
        <v>1223.5391999999999</v>
      </c>
    </row>
    <row r="527" spans="1:11" x14ac:dyDescent="0.25">
      <c r="A527" s="1">
        <v>526</v>
      </c>
      <c r="B527" s="1" t="s">
        <v>72</v>
      </c>
      <c r="C527" s="1" t="s">
        <v>412</v>
      </c>
      <c r="D527" s="3" t="s">
        <v>156</v>
      </c>
      <c r="E527" s="1">
        <v>2024</v>
      </c>
      <c r="F527" s="36" t="s">
        <v>446</v>
      </c>
      <c r="G527" s="37" t="s">
        <v>447</v>
      </c>
      <c r="H527" s="34">
        <v>8</v>
      </c>
      <c r="I527" s="50">
        <v>65.5</v>
      </c>
      <c r="J527" s="43">
        <f t="shared" si="8"/>
        <v>1048</v>
      </c>
      <c r="K527">
        <f>J527*Emission_factor!$C$48</f>
        <v>621.25440000000003</v>
      </c>
    </row>
    <row r="528" spans="1:11" x14ac:dyDescent="0.25">
      <c r="A528" s="1">
        <v>527</v>
      </c>
      <c r="B528" s="1" t="s">
        <v>72</v>
      </c>
      <c r="C528" s="1" t="s">
        <v>412</v>
      </c>
      <c r="D528" s="3" t="s">
        <v>156</v>
      </c>
      <c r="E528" s="1">
        <v>2024</v>
      </c>
      <c r="F528" s="36" t="s">
        <v>448</v>
      </c>
      <c r="G528" s="37" t="s">
        <v>449</v>
      </c>
      <c r="H528" s="34">
        <v>8</v>
      </c>
      <c r="I528" s="50">
        <v>129</v>
      </c>
      <c r="J528" s="43">
        <f t="shared" si="8"/>
        <v>2064</v>
      </c>
      <c r="K528">
        <f>J528*Emission_factor!$C$48</f>
        <v>1223.5391999999999</v>
      </c>
    </row>
    <row r="529" spans="1:11" x14ac:dyDescent="0.25">
      <c r="A529" s="1">
        <v>528</v>
      </c>
      <c r="B529" s="1" t="s">
        <v>72</v>
      </c>
      <c r="C529" s="1" t="s">
        <v>412</v>
      </c>
      <c r="D529" s="3" t="s">
        <v>156</v>
      </c>
      <c r="E529" s="1">
        <v>2024</v>
      </c>
      <c r="F529" s="34" t="s">
        <v>416</v>
      </c>
      <c r="G529" s="37" t="s">
        <v>421</v>
      </c>
      <c r="H529" s="34">
        <v>92</v>
      </c>
      <c r="I529" s="50">
        <v>51</v>
      </c>
      <c r="J529" s="43">
        <f t="shared" si="8"/>
        <v>9384</v>
      </c>
      <c r="K529">
        <f>J529*Emission_factor!$C$48</f>
        <v>5562.8351999999995</v>
      </c>
    </row>
    <row r="530" spans="1:11" x14ac:dyDescent="0.25">
      <c r="A530" s="1">
        <v>529</v>
      </c>
      <c r="B530" s="1" t="s">
        <v>72</v>
      </c>
      <c r="C530" s="1" t="s">
        <v>412</v>
      </c>
      <c r="D530" s="3" t="s">
        <v>156</v>
      </c>
      <c r="E530" s="1">
        <v>2024</v>
      </c>
      <c r="F530" s="34" t="s">
        <v>422</v>
      </c>
      <c r="G530" s="37" t="s">
        <v>423</v>
      </c>
      <c r="H530" s="34">
        <v>150</v>
      </c>
      <c r="I530" s="50">
        <v>47.1</v>
      </c>
      <c r="J530" s="43">
        <f t="shared" si="8"/>
        <v>14130</v>
      </c>
      <c r="K530">
        <f>J530*Emission_factor!$C$48</f>
        <v>8376.2639999999992</v>
      </c>
    </row>
    <row r="531" spans="1:11" x14ac:dyDescent="0.25">
      <c r="A531" s="1">
        <v>530</v>
      </c>
      <c r="B531" s="1" t="s">
        <v>72</v>
      </c>
      <c r="C531" s="1" t="s">
        <v>412</v>
      </c>
      <c r="D531" s="3" t="s">
        <v>156</v>
      </c>
      <c r="E531" s="1">
        <v>2024</v>
      </c>
      <c r="F531" s="36" t="s">
        <v>436</v>
      </c>
      <c r="G531" s="37" t="s">
        <v>437</v>
      </c>
      <c r="H531" s="34">
        <v>42</v>
      </c>
      <c r="I531" s="50">
        <v>73</v>
      </c>
      <c r="J531" s="43">
        <f t="shared" si="8"/>
        <v>6132</v>
      </c>
      <c r="K531">
        <f>J531*Emission_factor!$C$48</f>
        <v>3635.0495999999998</v>
      </c>
    </row>
    <row r="532" spans="1:11" x14ac:dyDescent="0.25">
      <c r="A532" s="1">
        <v>531</v>
      </c>
      <c r="B532" s="1" t="s">
        <v>72</v>
      </c>
      <c r="C532" s="1" t="s">
        <v>412</v>
      </c>
      <c r="D532" s="3" t="s">
        <v>156</v>
      </c>
      <c r="E532" s="1">
        <v>2024</v>
      </c>
      <c r="F532" s="34" t="s">
        <v>422</v>
      </c>
      <c r="G532" s="37" t="s">
        <v>423</v>
      </c>
      <c r="H532" s="34">
        <v>61</v>
      </c>
      <c r="I532" s="50">
        <v>47.1</v>
      </c>
      <c r="J532" s="43">
        <f t="shared" si="8"/>
        <v>5746.2</v>
      </c>
      <c r="K532">
        <f>J532*Emission_factor!$C$48</f>
        <v>3406.3473599999998</v>
      </c>
    </row>
    <row r="533" spans="1:11" x14ac:dyDescent="0.25">
      <c r="A533" s="1">
        <v>532</v>
      </c>
      <c r="B533" s="1" t="s">
        <v>72</v>
      </c>
      <c r="C533" s="1" t="s">
        <v>412</v>
      </c>
      <c r="D533" s="3" t="s">
        <v>156</v>
      </c>
      <c r="E533" s="1">
        <v>2024</v>
      </c>
      <c r="F533" s="34" t="s">
        <v>433</v>
      </c>
      <c r="G533" s="37" t="s">
        <v>420</v>
      </c>
      <c r="H533" s="34">
        <v>8</v>
      </c>
      <c r="I533" s="50">
        <v>96</v>
      </c>
      <c r="J533" s="43">
        <f t="shared" si="8"/>
        <v>1536</v>
      </c>
      <c r="K533">
        <f>J533*Emission_factor!$C$48</f>
        <v>910.54079999999999</v>
      </c>
    </row>
    <row r="534" spans="1:11" x14ac:dyDescent="0.25">
      <c r="A534" s="1">
        <v>533</v>
      </c>
      <c r="B534" s="1" t="s">
        <v>72</v>
      </c>
      <c r="C534" s="1" t="s">
        <v>412</v>
      </c>
      <c r="D534" s="3" t="s">
        <v>156</v>
      </c>
      <c r="E534" s="1">
        <v>2024</v>
      </c>
      <c r="F534" s="34" t="s">
        <v>415</v>
      </c>
      <c r="G534" s="37" t="s">
        <v>434</v>
      </c>
      <c r="H534" s="34">
        <v>8</v>
      </c>
      <c r="I534" s="50">
        <v>29.4</v>
      </c>
      <c r="J534" s="43">
        <f t="shared" si="8"/>
        <v>470.4</v>
      </c>
      <c r="K534">
        <f>J534*Emission_factor!$C$48</f>
        <v>278.85311999999999</v>
      </c>
    </row>
    <row r="535" spans="1:11" x14ac:dyDescent="0.25">
      <c r="A535" s="1">
        <v>534</v>
      </c>
      <c r="B535" s="1" t="s">
        <v>72</v>
      </c>
      <c r="C535" s="1" t="s">
        <v>412</v>
      </c>
      <c r="D535" s="3" t="s">
        <v>156</v>
      </c>
      <c r="E535" s="1">
        <v>2024</v>
      </c>
      <c r="F535" s="34" t="s">
        <v>428</v>
      </c>
      <c r="G535" s="37" t="s">
        <v>470</v>
      </c>
      <c r="H535" s="34">
        <v>16</v>
      </c>
      <c r="I535" s="50">
        <v>29.4</v>
      </c>
      <c r="J535" s="43">
        <f t="shared" si="8"/>
        <v>940.8</v>
      </c>
      <c r="K535">
        <f>J535*Emission_factor!$C$48</f>
        <v>557.70623999999998</v>
      </c>
    </row>
    <row r="536" spans="1:11" x14ac:dyDescent="0.25">
      <c r="A536" s="1">
        <v>535</v>
      </c>
      <c r="B536" s="1" t="s">
        <v>72</v>
      </c>
      <c r="C536" s="1" t="s">
        <v>412</v>
      </c>
      <c r="D536" s="3" t="s">
        <v>156</v>
      </c>
      <c r="E536" s="1">
        <v>2024</v>
      </c>
      <c r="F536" s="34" t="s">
        <v>433</v>
      </c>
      <c r="G536" s="37" t="s">
        <v>420</v>
      </c>
      <c r="H536" s="34">
        <v>25</v>
      </c>
      <c r="I536" s="50">
        <v>96</v>
      </c>
      <c r="J536" s="43">
        <f t="shared" si="8"/>
        <v>4800</v>
      </c>
      <c r="K536">
        <f>J536*Emission_factor!$C$48</f>
        <v>2845.44</v>
      </c>
    </row>
    <row r="537" spans="1:11" x14ac:dyDescent="0.25">
      <c r="A537" s="1">
        <v>536</v>
      </c>
      <c r="B537" s="1" t="s">
        <v>72</v>
      </c>
      <c r="C537" s="1" t="s">
        <v>412</v>
      </c>
      <c r="D537" s="3" t="s">
        <v>156</v>
      </c>
      <c r="E537" s="1">
        <v>2024</v>
      </c>
      <c r="F537" s="34" t="s">
        <v>413</v>
      </c>
      <c r="G537" s="37" t="s">
        <v>417</v>
      </c>
      <c r="H537" s="34">
        <v>92</v>
      </c>
      <c r="I537" s="50">
        <v>28.1</v>
      </c>
      <c r="J537" s="43">
        <f t="shared" si="8"/>
        <v>5170.4000000000005</v>
      </c>
      <c r="K537">
        <f>J537*Emission_factor!$C$48</f>
        <v>3065.0131200000001</v>
      </c>
    </row>
    <row r="538" spans="1:11" x14ac:dyDescent="0.25">
      <c r="A538" s="1">
        <v>537</v>
      </c>
      <c r="B538" s="1" t="s">
        <v>72</v>
      </c>
      <c r="C538" s="1" t="s">
        <v>412</v>
      </c>
      <c r="D538" s="3" t="s">
        <v>156</v>
      </c>
      <c r="E538" s="1">
        <v>2024</v>
      </c>
      <c r="F538" s="34" t="s">
        <v>436</v>
      </c>
      <c r="G538" s="37" t="s">
        <v>437</v>
      </c>
      <c r="H538" s="34">
        <v>75</v>
      </c>
      <c r="I538" s="50">
        <v>73</v>
      </c>
      <c r="J538" s="43">
        <f t="shared" si="8"/>
        <v>10950</v>
      </c>
      <c r="K538">
        <f>J538*Emission_factor!$C$48</f>
        <v>6491.16</v>
      </c>
    </row>
    <row r="539" spans="1:11" x14ac:dyDescent="0.25">
      <c r="A539" s="1">
        <v>538</v>
      </c>
      <c r="B539" s="1" t="s">
        <v>72</v>
      </c>
      <c r="C539" s="1" t="s">
        <v>412</v>
      </c>
      <c r="D539" s="3" t="s">
        <v>156</v>
      </c>
      <c r="E539" s="1">
        <v>2024</v>
      </c>
      <c r="F539" s="34" t="s">
        <v>428</v>
      </c>
      <c r="G539" s="37" t="s">
        <v>470</v>
      </c>
      <c r="H539" s="34">
        <v>1</v>
      </c>
      <c r="I539" s="50">
        <v>29.4</v>
      </c>
      <c r="J539" s="43">
        <f t="shared" si="8"/>
        <v>58.8</v>
      </c>
      <c r="K539">
        <f>J539*Emission_factor!$C$48</f>
        <v>34.856639999999999</v>
      </c>
    </row>
    <row r="540" spans="1:11" x14ac:dyDescent="0.25">
      <c r="A540" s="1">
        <v>539</v>
      </c>
      <c r="B540" s="1" t="s">
        <v>72</v>
      </c>
      <c r="C540" s="1" t="s">
        <v>412</v>
      </c>
      <c r="D540" s="3" t="s">
        <v>156</v>
      </c>
      <c r="E540" s="1">
        <v>2024</v>
      </c>
      <c r="F540" s="34" t="s">
        <v>462</v>
      </c>
      <c r="G540" s="37" t="s">
        <v>469</v>
      </c>
      <c r="H540" s="34">
        <v>8</v>
      </c>
      <c r="I540" s="50">
        <v>96.4</v>
      </c>
      <c r="J540" s="43">
        <f t="shared" si="8"/>
        <v>1542.4</v>
      </c>
      <c r="K540">
        <f>J540*Emission_factor!$C$48</f>
        <v>914.33472000000006</v>
      </c>
    </row>
    <row r="541" spans="1:11" x14ac:dyDescent="0.25">
      <c r="A541" s="1">
        <v>540</v>
      </c>
      <c r="B541" s="1" t="s">
        <v>72</v>
      </c>
      <c r="C541" s="1" t="s">
        <v>412</v>
      </c>
      <c r="D541" s="3" t="s">
        <v>156</v>
      </c>
      <c r="E541" s="1">
        <v>2024</v>
      </c>
      <c r="F541" s="34" t="s">
        <v>413</v>
      </c>
      <c r="G541" s="37" t="s">
        <v>417</v>
      </c>
      <c r="H541" s="34">
        <v>1</v>
      </c>
      <c r="I541" s="50">
        <v>28.1</v>
      </c>
      <c r="J541" s="43">
        <f t="shared" si="8"/>
        <v>56.2</v>
      </c>
      <c r="K541">
        <f>J541*Emission_factor!$C$48</f>
        <v>33.315359999999998</v>
      </c>
    </row>
    <row r="542" spans="1:11" x14ac:dyDescent="0.25">
      <c r="A542" s="1">
        <v>541</v>
      </c>
      <c r="B542" s="1" t="s">
        <v>72</v>
      </c>
      <c r="C542" s="1" t="s">
        <v>412</v>
      </c>
      <c r="D542" s="3" t="s">
        <v>156</v>
      </c>
      <c r="E542" s="1">
        <v>2024</v>
      </c>
      <c r="F542" s="34" t="s">
        <v>450</v>
      </c>
      <c r="G542" s="37" t="s">
        <v>451</v>
      </c>
      <c r="H542" s="34">
        <v>8</v>
      </c>
      <c r="I542" s="50">
        <v>55.7</v>
      </c>
      <c r="J542" s="43">
        <f t="shared" si="8"/>
        <v>891.2</v>
      </c>
      <c r="K542">
        <f>J542*Emission_factor!$C$48</f>
        <v>528.30336</v>
      </c>
    </row>
    <row r="543" spans="1:11" x14ac:dyDescent="0.25">
      <c r="I543" s="43" t="s">
        <v>225</v>
      </c>
      <c r="J543" s="54">
        <f>SUM(J2:J542)</f>
        <v>2493244.8000000003</v>
      </c>
      <c r="K543">
        <f>J543*Emission_factor!$C$48</f>
        <v>1477995.5174400001</v>
      </c>
    </row>
    <row r="544" spans="1:11" x14ac:dyDescent="0.25">
      <c r="J544" t="s">
        <v>486</v>
      </c>
      <c r="K544" t="s">
        <v>526</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24"/>
  <sheetViews>
    <sheetView topLeftCell="A109" workbookViewId="0">
      <selection activeCell="K122" sqref="K122"/>
    </sheetView>
  </sheetViews>
  <sheetFormatPr defaultRowHeight="15" x14ac:dyDescent="0.25"/>
  <cols>
    <col min="2" max="2" width="21" bestFit="1" customWidth="1"/>
    <col min="3" max="3" width="32.7109375" bestFit="1" customWidth="1"/>
    <col min="4" max="4" width="13.5703125" bestFit="1" customWidth="1"/>
    <col min="5" max="5" width="14.140625" bestFit="1" customWidth="1"/>
    <col min="10" max="10" width="9.7109375" bestFit="1" customWidth="1"/>
    <col min="11" max="11" width="14.5703125" bestFit="1" customWidth="1"/>
  </cols>
  <sheetData>
    <row r="1" spans="1:11" x14ac:dyDescent="0.25">
      <c r="A1" s="1" t="s">
        <v>118</v>
      </c>
      <c r="B1" s="1" t="s">
        <v>0</v>
      </c>
      <c r="C1" s="26" t="s">
        <v>411</v>
      </c>
      <c r="D1" s="1" t="s">
        <v>401</v>
      </c>
      <c r="E1" s="1" t="s">
        <v>160</v>
      </c>
      <c r="F1" s="26" t="s">
        <v>258</v>
      </c>
      <c r="G1" s="43" t="s">
        <v>375</v>
      </c>
      <c r="H1" s="48" t="s">
        <v>124</v>
      </c>
      <c r="I1" s="48" t="s">
        <v>123</v>
      </c>
      <c r="J1" s="48" t="s">
        <v>487</v>
      </c>
      <c r="K1" s="48" t="s">
        <v>522</v>
      </c>
    </row>
    <row r="2" spans="1:11" x14ac:dyDescent="0.25">
      <c r="A2" s="1">
        <v>1</v>
      </c>
      <c r="B2" s="1" t="s">
        <v>473</v>
      </c>
      <c r="C2" s="1" t="s">
        <v>430</v>
      </c>
      <c r="D2" s="1" t="s">
        <v>431</v>
      </c>
      <c r="E2" s="1" t="s">
        <v>475</v>
      </c>
      <c r="F2" s="1">
        <v>10</v>
      </c>
      <c r="G2" s="1">
        <v>417</v>
      </c>
      <c r="H2" s="1" t="s">
        <v>137</v>
      </c>
      <c r="I2" s="1">
        <v>2023</v>
      </c>
      <c r="J2" s="1">
        <f>G2*F2*2</f>
        <v>8340</v>
      </c>
      <c r="K2" s="1">
        <f>J2*Emission_factor!$C$49</f>
        <v>6150.75</v>
      </c>
    </row>
    <row r="3" spans="1:11" x14ac:dyDescent="0.25">
      <c r="A3" s="1">
        <v>2</v>
      </c>
      <c r="B3" s="1" t="s">
        <v>473</v>
      </c>
      <c r="C3" s="1" t="s">
        <v>465</v>
      </c>
      <c r="D3" s="1" t="s">
        <v>466</v>
      </c>
      <c r="E3" s="1" t="s">
        <v>475</v>
      </c>
      <c r="F3" s="1">
        <v>23</v>
      </c>
      <c r="G3" s="1">
        <v>251</v>
      </c>
      <c r="H3" s="1" t="s">
        <v>127</v>
      </c>
      <c r="I3" s="1">
        <v>2023</v>
      </c>
      <c r="J3" s="1">
        <f t="shared" ref="J3:J66" si="0">G3*F3*2</f>
        <v>11546</v>
      </c>
      <c r="K3" s="1">
        <f>J3*Emission_factor!$C$49</f>
        <v>8515.1750000000011</v>
      </c>
    </row>
    <row r="4" spans="1:11" x14ac:dyDescent="0.25">
      <c r="A4" s="1">
        <v>3</v>
      </c>
      <c r="B4" s="1" t="s">
        <v>473</v>
      </c>
      <c r="C4" s="1" t="s">
        <v>430</v>
      </c>
      <c r="D4" s="1" t="s">
        <v>431</v>
      </c>
      <c r="E4" s="1" t="s">
        <v>475</v>
      </c>
      <c r="F4" s="1">
        <v>14</v>
      </c>
      <c r="G4" s="1">
        <v>438</v>
      </c>
      <c r="H4" s="1" t="s">
        <v>127</v>
      </c>
      <c r="I4" s="1">
        <v>2023</v>
      </c>
      <c r="J4" s="1">
        <f t="shared" si="0"/>
        <v>12264</v>
      </c>
      <c r="K4" s="1">
        <f>J4*Emission_factor!$C$49</f>
        <v>9044.7000000000007</v>
      </c>
    </row>
    <row r="5" spans="1:11" x14ac:dyDescent="0.25">
      <c r="A5" s="1">
        <v>4</v>
      </c>
      <c r="B5" s="1" t="s">
        <v>473</v>
      </c>
      <c r="C5" s="1" t="s">
        <v>465</v>
      </c>
      <c r="D5" s="1" t="s">
        <v>466</v>
      </c>
      <c r="E5" s="1" t="s">
        <v>475</v>
      </c>
      <c r="F5" s="1">
        <v>2</v>
      </c>
      <c r="G5" s="1">
        <v>251</v>
      </c>
      <c r="H5" s="1" t="s">
        <v>127</v>
      </c>
      <c r="I5" s="1">
        <v>2023</v>
      </c>
      <c r="J5" s="1">
        <f t="shared" si="0"/>
        <v>1004</v>
      </c>
      <c r="K5" s="1">
        <f>J5*Emission_factor!$C$49</f>
        <v>740.45</v>
      </c>
    </row>
    <row r="6" spans="1:11" x14ac:dyDescent="0.25">
      <c r="A6" s="1">
        <v>5</v>
      </c>
      <c r="B6" s="1" t="s">
        <v>473</v>
      </c>
      <c r="C6" s="1" t="s">
        <v>430</v>
      </c>
      <c r="D6" s="1" t="s">
        <v>431</v>
      </c>
      <c r="E6" s="1" t="s">
        <v>475</v>
      </c>
      <c r="F6" s="1">
        <v>22</v>
      </c>
      <c r="G6" s="1">
        <v>438</v>
      </c>
      <c r="H6" s="1" t="s">
        <v>127</v>
      </c>
      <c r="I6" s="1">
        <v>2023</v>
      </c>
      <c r="J6" s="1">
        <f t="shared" si="0"/>
        <v>19272</v>
      </c>
      <c r="K6" s="1">
        <f>J6*Emission_factor!$C$49</f>
        <v>14213.1</v>
      </c>
    </row>
    <row r="7" spans="1:11" x14ac:dyDescent="0.25">
      <c r="A7" s="1">
        <v>6</v>
      </c>
      <c r="B7" s="1" t="s">
        <v>473</v>
      </c>
      <c r="C7" s="1" t="s">
        <v>430</v>
      </c>
      <c r="D7" s="1" t="s">
        <v>431</v>
      </c>
      <c r="E7" s="1" t="s">
        <v>475</v>
      </c>
      <c r="F7" s="1">
        <v>1</v>
      </c>
      <c r="G7" s="1">
        <v>438</v>
      </c>
      <c r="H7" s="1" t="s">
        <v>127</v>
      </c>
      <c r="I7" s="1">
        <v>2023</v>
      </c>
      <c r="J7" s="1">
        <f t="shared" si="0"/>
        <v>876</v>
      </c>
      <c r="K7" s="1">
        <f>J7*Emission_factor!$C$49</f>
        <v>646.05000000000007</v>
      </c>
    </row>
    <row r="8" spans="1:11" x14ac:dyDescent="0.25">
      <c r="A8" s="1">
        <v>7</v>
      </c>
      <c r="B8" s="1" t="s">
        <v>473</v>
      </c>
      <c r="C8" s="1" t="s">
        <v>430</v>
      </c>
      <c r="D8" s="1" t="s">
        <v>431</v>
      </c>
      <c r="E8" s="1" t="s">
        <v>475</v>
      </c>
      <c r="F8" s="1">
        <v>31</v>
      </c>
      <c r="G8" s="1">
        <v>438</v>
      </c>
      <c r="H8" s="1" t="s">
        <v>127</v>
      </c>
      <c r="I8" s="1">
        <v>2023</v>
      </c>
      <c r="J8" s="1">
        <f t="shared" si="0"/>
        <v>27156</v>
      </c>
      <c r="K8" s="1">
        <f>J8*Emission_factor!$C$49</f>
        <v>20027.550000000003</v>
      </c>
    </row>
    <row r="9" spans="1:11" x14ac:dyDescent="0.25">
      <c r="A9" s="1">
        <v>8</v>
      </c>
      <c r="B9" s="1" t="s">
        <v>473</v>
      </c>
      <c r="C9" s="1" t="s">
        <v>430</v>
      </c>
      <c r="D9" s="1" t="s">
        <v>431</v>
      </c>
      <c r="E9" s="1" t="s">
        <v>475</v>
      </c>
      <c r="F9" s="1">
        <v>37</v>
      </c>
      <c r="G9" s="1">
        <v>438</v>
      </c>
      <c r="H9" s="1" t="s">
        <v>127</v>
      </c>
      <c r="I9" s="1">
        <v>2023</v>
      </c>
      <c r="J9" s="1">
        <f t="shared" si="0"/>
        <v>32412</v>
      </c>
      <c r="K9" s="1">
        <f>J9*Emission_factor!$C$49</f>
        <v>23903.850000000002</v>
      </c>
    </row>
    <row r="10" spans="1:11" x14ac:dyDescent="0.25">
      <c r="A10" s="1">
        <v>9</v>
      </c>
      <c r="B10" s="1" t="s">
        <v>473</v>
      </c>
      <c r="C10" s="1" t="s">
        <v>465</v>
      </c>
      <c r="D10" s="1" t="s">
        <v>466</v>
      </c>
      <c r="E10" s="1" t="s">
        <v>475</v>
      </c>
      <c r="F10" s="1">
        <v>15</v>
      </c>
      <c r="G10" s="1">
        <v>251</v>
      </c>
      <c r="H10" s="1" t="s">
        <v>127</v>
      </c>
      <c r="I10" s="1">
        <v>2023</v>
      </c>
      <c r="J10" s="1">
        <f t="shared" si="0"/>
        <v>7530</v>
      </c>
      <c r="K10" s="1">
        <f>J10*Emission_factor!$C$49</f>
        <v>5553.375</v>
      </c>
    </row>
    <row r="11" spans="1:11" x14ac:dyDescent="0.25">
      <c r="A11" s="1">
        <v>10</v>
      </c>
      <c r="B11" s="1" t="s">
        <v>473</v>
      </c>
      <c r="C11" s="1" t="s">
        <v>430</v>
      </c>
      <c r="D11" s="1" t="s">
        <v>431</v>
      </c>
      <c r="E11" s="1" t="s">
        <v>475</v>
      </c>
      <c r="F11" s="1">
        <v>4</v>
      </c>
      <c r="G11" s="1">
        <v>438</v>
      </c>
      <c r="H11" s="1" t="s">
        <v>127</v>
      </c>
      <c r="I11" s="1">
        <v>2023</v>
      </c>
      <c r="J11" s="1">
        <f t="shared" si="0"/>
        <v>3504</v>
      </c>
      <c r="K11" s="1">
        <f>J11*Emission_factor!$C$49</f>
        <v>2584.2000000000003</v>
      </c>
    </row>
    <row r="12" spans="1:11" x14ac:dyDescent="0.25">
      <c r="A12" s="1">
        <v>11</v>
      </c>
      <c r="B12" s="1" t="s">
        <v>473</v>
      </c>
      <c r="C12" s="1" t="s">
        <v>465</v>
      </c>
      <c r="D12" s="1" t="s">
        <v>466</v>
      </c>
      <c r="E12" s="1" t="s">
        <v>475</v>
      </c>
      <c r="F12" s="1">
        <v>2</v>
      </c>
      <c r="G12" s="1">
        <v>251</v>
      </c>
      <c r="H12" s="1" t="s">
        <v>127</v>
      </c>
      <c r="I12" s="1">
        <v>2023</v>
      </c>
      <c r="J12" s="1">
        <f t="shared" si="0"/>
        <v>1004</v>
      </c>
      <c r="K12" s="1">
        <f>J12*Emission_factor!$C$49</f>
        <v>740.45</v>
      </c>
    </row>
    <row r="13" spans="1:11" x14ac:dyDescent="0.25">
      <c r="A13" s="1">
        <v>12</v>
      </c>
      <c r="B13" s="1" t="s">
        <v>473</v>
      </c>
      <c r="C13" s="1" t="s">
        <v>430</v>
      </c>
      <c r="D13" s="1" t="s">
        <v>431</v>
      </c>
      <c r="E13" s="1" t="s">
        <v>475</v>
      </c>
      <c r="F13" s="1">
        <v>10</v>
      </c>
      <c r="G13" s="1">
        <v>438</v>
      </c>
      <c r="H13" s="1" t="s">
        <v>128</v>
      </c>
      <c r="I13" s="1">
        <v>2023</v>
      </c>
      <c r="J13" s="1">
        <f t="shared" si="0"/>
        <v>8760</v>
      </c>
      <c r="K13" s="1">
        <f>J13*Emission_factor!$C$49</f>
        <v>6460.5</v>
      </c>
    </row>
    <row r="14" spans="1:11" x14ac:dyDescent="0.25">
      <c r="A14" s="1">
        <v>13</v>
      </c>
      <c r="B14" s="1" t="s">
        <v>473</v>
      </c>
      <c r="C14" s="1" t="s">
        <v>430</v>
      </c>
      <c r="D14" s="1" t="s">
        <v>431</v>
      </c>
      <c r="E14" s="1" t="s">
        <v>475</v>
      </c>
      <c r="F14" s="1">
        <v>1</v>
      </c>
      <c r="G14" s="1">
        <v>438</v>
      </c>
      <c r="H14" s="1" t="s">
        <v>128</v>
      </c>
      <c r="I14" s="1">
        <v>2023</v>
      </c>
      <c r="J14" s="1">
        <f t="shared" si="0"/>
        <v>876</v>
      </c>
      <c r="K14" s="1">
        <f>J14*Emission_factor!$C$49</f>
        <v>646.05000000000007</v>
      </c>
    </row>
    <row r="15" spans="1:11" x14ac:dyDescent="0.25">
      <c r="A15" s="1">
        <v>14</v>
      </c>
      <c r="B15" s="1" t="s">
        <v>473</v>
      </c>
      <c r="C15" s="1" t="s">
        <v>465</v>
      </c>
      <c r="D15" s="1" t="s">
        <v>466</v>
      </c>
      <c r="E15" s="1" t="s">
        <v>475</v>
      </c>
      <c r="F15" s="1">
        <v>11</v>
      </c>
      <c r="G15" s="1">
        <v>251</v>
      </c>
      <c r="H15" s="1" t="s">
        <v>128</v>
      </c>
      <c r="I15" s="1">
        <v>2023</v>
      </c>
      <c r="J15" s="1">
        <f t="shared" si="0"/>
        <v>5522</v>
      </c>
      <c r="K15" s="1">
        <f>J15*Emission_factor!$C$49</f>
        <v>4072.4750000000004</v>
      </c>
    </row>
    <row r="16" spans="1:11" x14ac:dyDescent="0.25">
      <c r="A16" s="1">
        <v>15</v>
      </c>
      <c r="B16" s="1" t="s">
        <v>473</v>
      </c>
      <c r="C16" s="1" t="s">
        <v>430</v>
      </c>
      <c r="D16" s="1" t="s">
        <v>431</v>
      </c>
      <c r="E16" s="1" t="s">
        <v>475</v>
      </c>
      <c r="F16" s="1">
        <v>8</v>
      </c>
      <c r="G16" s="1">
        <v>438</v>
      </c>
      <c r="H16" s="1" t="s">
        <v>149</v>
      </c>
      <c r="I16" s="1">
        <v>2023</v>
      </c>
      <c r="J16" s="1">
        <f t="shared" si="0"/>
        <v>7008</v>
      </c>
      <c r="K16" s="1">
        <f>J16*Emission_factor!$C$49</f>
        <v>5168.4000000000005</v>
      </c>
    </row>
    <row r="17" spans="1:11" x14ac:dyDescent="0.25">
      <c r="A17" s="1">
        <v>16</v>
      </c>
      <c r="B17" s="1" t="s">
        <v>473</v>
      </c>
      <c r="C17" s="1" t="s">
        <v>430</v>
      </c>
      <c r="D17" s="1" t="s">
        <v>431</v>
      </c>
      <c r="E17" s="1" t="s">
        <v>475</v>
      </c>
      <c r="F17" s="1">
        <v>17</v>
      </c>
      <c r="G17" s="1">
        <v>438</v>
      </c>
      <c r="H17" s="1" t="s">
        <v>149</v>
      </c>
      <c r="I17" s="1">
        <v>2023</v>
      </c>
      <c r="J17" s="1">
        <f t="shared" si="0"/>
        <v>14892</v>
      </c>
      <c r="K17" s="1">
        <f>J17*Emission_factor!$C$49</f>
        <v>10982.85</v>
      </c>
    </row>
    <row r="18" spans="1:11" x14ac:dyDescent="0.25">
      <c r="A18" s="1">
        <v>17</v>
      </c>
      <c r="B18" s="1" t="s">
        <v>473</v>
      </c>
      <c r="C18" s="1" t="s">
        <v>465</v>
      </c>
      <c r="D18" s="1" t="s">
        <v>466</v>
      </c>
      <c r="E18" s="1" t="s">
        <v>475</v>
      </c>
      <c r="F18" s="1">
        <v>17</v>
      </c>
      <c r="G18" s="1">
        <v>251</v>
      </c>
      <c r="H18" s="1" t="s">
        <v>149</v>
      </c>
      <c r="I18" s="1">
        <v>2023</v>
      </c>
      <c r="J18" s="1">
        <f t="shared" si="0"/>
        <v>8534</v>
      </c>
      <c r="K18" s="1">
        <f>J18*Emission_factor!$C$49</f>
        <v>6293.8250000000007</v>
      </c>
    </row>
    <row r="19" spans="1:11" x14ac:dyDescent="0.25">
      <c r="A19" s="1">
        <v>18</v>
      </c>
      <c r="B19" s="1" t="s">
        <v>473</v>
      </c>
      <c r="C19" s="1" t="s">
        <v>430</v>
      </c>
      <c r="D19" s="1" t="s">
        <v>431</v>
      </c>
      <c r="E19" s="1" t="s">
        <v>475</v>
      </c>
      <c r="F19" s="1">
        <v>3</v>
      </c>
      <c r="G19" s="1">
        <v>438</v>
      </c>
      <c r="H19" s="1" t="s">
        <v>149</v>
      </c>
      <c r="I19" s="1">
        <v>2023</v>
      </c>
      <c r="J19" s="1">
        <f t="shared" si="0"/>
        <v>2628</v>
      </c>
      <c r="K19" s="1">
        <f>J19*Emission_factor!$C$49</f>
        <v>1938.15</v>
      </c>
    </row>
    <row r="20" spans="1:11" x14ac:dyDescent="0.25">
      <c r="A20" s="1">
        <v>19</v>
      </c>
      <c r="B20" s="1" t="s">
        <v>473</v>
      </c>
      <c r="C20" s="1" t="s">
        <v>465</v>
      </c>
      <c r="D20" s="1" t="s">
        <v>466</v>
      </c>
      <c r="E20" s="1" t="s">
        <v>475</v>
      </c>
      <c r="F20" s="1">
        <v>7</v>
      </c>
      <c r="G20" s="1">
        <v>251</v>
      </c>
      <c r="H20" s="1" t="s">
        <v>149</v>
      </c>
      <c r="I20" s="1">
        <v>2023</v>
      </c>
      <c r="J20" s="1">
        <f t="shared" si="0"/>
        <v>3514</v>
      </c>
      <c r="K20" s="1">
        <f>J20*Emission_factor!$C$49</f>
        <v>2591.5750000000003</v>
      </c>
    </row>
    <row r="21" spans="1:11" x14ac:dyDescent="0.25">
      <c r="A21" s="1">
        <v>20</v>
      </c>
      <c r="B21" s="1" t="s">
        <v>473</v>
      </c>
      <c r="C21" s="1" t="s">
        <v>476</v>
      </c>
      <c r="D21" s="1" t="s">
        <v>477</v>
      </c>
      <c r="E21" s="1" t="s">
        <v>475</v>
      </c>
      <c r="F21" s="1">
        <v>12</v>
      </c>
      <c r="G21" s="1">
        <v>427</v>
      </c>
      <c r="H21" s="1" t="s">
        <v>149</v>
      </c>
      <c r="I21" s="1">
        <v>2023</v>
      </c>
      <c r="J21" s="1">
        <f t="shared" si="0"/>
        <v>10248</v>
      </c>
      <c r="K21" s="1">
        <f>J21*Emission_factor!$C$49</f>
        <v>7557.9000000000005</v>
      </c>
    </row>
    <row r="22" spans="1:11" x14ac:dyDescent="0.25">
      <c r="A22" s="1">
        <v>21</v>
      </c>
      <c r="B22" s="1" t="s">
        <v>473</v>
      </c>
      <c r="C22" s="1" t="s">
        <v>465</v>
      </c>
      <c r="D22" s="1" t="s">
        <v>466</v>
      </c>
      <c r="E22" s="1" t="s">
        <v>475</v>
      </c>
      <c r="F22" s="1">
        <v>4</v>
      </c>
      <c r="G22" s="1">
        <v>251</v>
      </c>
      <c r="H22" s="1" t="s">
        <v>149</v>
      </c>
      <c r="I22" s="1">
        <v>2023</v>
      </c>
      <c r="J22" s="1">
        <f t="shared" si="0"/>
        <v>2008</v>
      </c>
      <c r="K22" s="1">
        <f>J22*Emission_factor!$C$49</f>
        <v>1480.9</v>
      </c>
    </row>
    <row r="23" spans="1:11" x14ac:dyDescent="0.25">
      <c r="A23" s="1">
        <v>22</v>
      </c>
      <c r="B23" s="1" t="s">
        <v>473</v>
      </c>
      <c r="C23" s="1" t="s">
        <v>465</v>
      </c>
      <c r="D23" s="1" t="s">
        <v>466</v>
      </c>
      <c r="E23" s="1" t="s">
        <v>475</v>
      </c>
      <c r="F23" s="1">
        <v>7</v>
      </c>
      <c r="G23" s="1">
        <v>251</v>
      </c>
      <c r="H23" s="1" t="s">
        <v>149</v>
      </c>
      <c r="I23" s="1">
        <v>2023</v>
      </c>
      <c r="J23" s="1">
        <f t="shared" si="0"/>
        <v>3514</v>
      </c>
      <c r="K23" s="1">
        <f>J23*Emission_factor!$C$49</f>
        <v>2591.5750000000003</v>
      </c>
    </row>
    <row r="24" spans="1:11" x14ac:dyDescent="0.25">
      <c r="A24" s="1">
        <v>23</v>
      </c>
      <c r="B24" s="1" t="s">
        <v>473</v>
      </c>
      <c r="C24" s="1" t="s">
        <v>465</v>
      </c>
      <c r="D24" s="1" t="s">
        <v>466</v>
      </c>
      <c r="E24" s="1" t="s">
        <v>475</v>
      </c>
      <c r="F24" s="1">
        <v>36</v>
      </c>
      <c r="G24" s="1">
        <v>251</v>
      </c>
      <c r="H24" s="1" t="s">
        <v>149</v>
      </c>
      <c r="I24" s="1">
        <v>2023</v>
      </c>
      <c r="J24" s="1">
        <f t="shared" si="0"/>
        <v>18072</v>
      </c>
      <c r="K24" s="1">
        <f>J24*Emission_factor!$C$49</f>
        <v>13328.1</v>
      </c>
    </row>
    <row r="25" spans="1:11" x14ac:dyDescent="0.25">
      <c r="A25" s="1">
        <v>24</v>
      </c>
      <c r="B25" s="1" t="s">
        <v>473</v>
      </c>
      <c r="C25" s="1" t="s">
        <v>465</v>
      </c>
      <c r="D25" s="1" t="s">
        <v>466</v>
      </c>
      <c r="E25" s="1" t="s">
        <v>475</v>
      </c>
      <c r="F25" s="1">
        <v>2</v>
      </c>
      <c r="G25" s="1">
        <v>251</v>
      </c>
      <c r="H25" s="1" t="s">
        <v>149</v>
      </c>
      <c r="I25" s="1">
        <v>2023</v>
      </c>
      <c r="J25" s="1">
        <f t="shared" si="0"/>
        <v>1004</v>
      </c>
      <c r="K25" s="1">
        <f>J25*Emission_factor!$C$49</f>
        <v>740.45</v>
      </c>
    </row>
    <row r="26" spans="1:11" x14ac:dyDescent="0.25">
      <c r="A26" s="1">
        <v>25</v>
      </c>
      <c r="B26" s="1" t="s">
        <v>473</v>
      </c>
      <c r="C26" s="1" t="s">
        <v>476</v>
      </c>
      <c r="D26" s="1" t="s">
        <v>477</v>
      </c>
      <c r="E26" s="1" t="s">
        <v>475</v>
      </c>
      <c r="F26" s="1">
        <v>6</v>
      </c>
      <c r="G26" s="1">
        <v>427</v>
      </c>
      <c r="H26" s="1" t="s">
        <v>149</v>
      </c>
      <c r="I26" s="1">
        <v>2023</v>
      </c>
      <c r="J26" s="1">
        <f t="shared" si="0"/>
        <v>5124</v>
      </c>
      <c r="K26" s="1">
        <f>J26*Emission_factor!$C$49</f>
        <v>3778.9500000000003</v>
      </c>
    </row>
    <row r="27" spans="1:11" x14ac:dyDescent="0.25">
      <c r="A27" s="1">
        <v>26</v>
      </c>
      <c r="B27" s="1" t="s">
        <v>473</v>
      </c>
      <c r="C27" s="1" t="s">
        <v>478</v>
      </c>
      <c r="D27" s="1" t="s">
        <v>431</v>
      </c>
      <c r="E27" s="1" t="s">
        <v>475</v>
      </c>
      <c r="F27" s="1">
        <v>43</v>
      </c>
      <c r="G27" s="1">
        <v>438</v>
      </c>
      <c r="H27" s="1" t="s">
        <v>149</v>
      </c>
      <c r="I27" s="1">
        <v>2023</v>
      </c>
      <c r="J27" s="1">
        <f t="shared" si="0"/>
        <v>37668</v>
      </c>
      <c r="K27" s="1">
        <f>J27*Emission_factor!$C$49</f>
        <v>27780.15</v>
      </c>
    </row>
    <row r="28" spans="1:11" x14ac:dyDescent="0.25">
      <c r="A28" s="1">
        <v>27</v>
      </c>
      <c r="B28" s="1" t="s">
        <v>473</v>
      </c>
      <c r="C28" s="1" t="s">
        <v>478</v>
      </c>
      <c r="D28" s="1" t="s">
        <v>431</v>
      </c>
      <c r="E28" s="1" t="s">
        <v>475</v>
      </c>
      <c r="F28" s="1">
        <v>13</v>
      </c>
      <c r="G28" s="1">
        <v>438</v>
      </c>
      <c r="H28" s="1" t="s">
        <v>454</v>
      </c>
      <c r="I28" s="1">
        <v>2023</v>
      </c>
      <c r="J28" s="1">
        <f t="shared" si="0"/>
        <v>11388</v>
      </c>
      <c r="K28" s="1">
        <f>J28*Emission_factor!$C$49</f>
        <v>8398.65</v>
      </c>
    </row>
    <row r="29" spans="1:11" x14ac:dyDescent="0.25">
      <c r="A29" s="1">
        <v>28</v>
      </c>
      <c r="B29" s="1" t="s">
        <v>473</v>
      </c>
      <c r="C29" s="1" t="s">
        <v>430</v>
      </c>
      <c r="D29" s="1" t="s">
        <v>431</v>
      </c>
      <c r="E29" s="1" t="s">
        <v>475</v>
      </c>
      <c r="F29" s="1">
        <v>6</v>
      </c>
      <c r="G29" s="1">
        <v>438</v>
      </c>
      <c r="H29" s="1" t="s">
        <v>454</v>
      </c>
      <c r="I29" s="1">
        <v>2023</v>
      </c>
      <c r="J29" s="1">
        <f t="shared" si="0"/>
        <v>5256</v>
      </c>
      <c r="K29" s="1">
        <f>J29*Emission_factor!$C$49</f>
        <v>3876.3</v>
      </c>
    </row>
    <row r="30" spans="1:11" x14ac:dyDescent="0.25">
      <c r="A30" s="1">
        <v>29</v>
      </c>
      <c r="B30" s="1" t="s">
        <v>473</v>
      </c>
      <c r="C30" s="1" t="s">
        <v>430</v>
      </c>
      <c r="D30" s="1" t="s">
        <v>431</v>
      </c>
      <c r="E30" s="1" t="s">
        <v>475</v>
      </c>
      <c r="F30" s="1">
        <v>9</v>
      </c>
      <c r="G30" s="1">
        <v>438</v>
      </c>
      <c r="H30" s="1" t="s">
        <v>454</v>
      </c>
      <c r="I30" s="1">
        <v>2023</v>
      </c>
      <c r="J30" s="1">
        <f t="shared" si="0"/>
        <v>7884</v>
      </c>
      <c r="K30" s="1">
        <f>J30*Emission_factor!$C$49</f>
        <v>5814.4500000000007</v>
      </c>
    </row>
    <row r="31" spans="1:11" x14ac:dyDescent="0.25">
      <c r="A31" s="1">
        <v>30</v>
      </c>
      <c r="B31" s="1" t="s">
        <v>473</v>
      </c>
      <c r="C31" s="1" t="s">
        <v>478</v>
      </c>
      <c r="D31" s="1" t="s">
        <v>431</v>
      </c>
      <c r="E31" s="1" t="s">
        <v>475</v>
      </c>
      <c r="F31" s="1">
        <v>25</v>
      </c>
      <c r="G31" s="1">
        <v>438</v>
      </c>
      <c r="H31" s="1" t="s">
        <v>454</v>
      </c>
      <c r="I31" s="1">
        <v>2023</v>
      </c>
      <c r="J31" s="1">
        <f t="shared" si="0"/>
        <v>21900</v>
      </c>
      <c r="K31" s="1">
        <f>J31*Emission_factor!$C$49</f>
        <v>16151.250000000002</v>
      </c>
    </row>
    <row r="32" spans="1:11" x14ac:dyDescent="0.25">
      <c r="A32" s="1">
        <v>31</v>
      </c>
      <c r="B32" s="1" t="s">
        <v>473</v>
      </c>
      <c r="C32" s="1" t="s">
        <v>430</v>
      </c>
      <c r="D32" s="1" t="s">
        <v>431</v>
      </c>
      <c r="E32" s="1" t="s">
        <v>475</v>
      </c>
      <c r="F32" s="1">
        <v>2</v>
      </c>
      <c r="G32" s="1">
        <v>438</v>
      </c>
      <c r="H32" s="1" t="s">
        <v>454</v>
      </c>
      <c r="I32" s="1">
        <v>2023</v>
      </c>
      <c r="J32" s="1">
        <f t="shared" si="0"/>
        <v>1752</v>
      </c>
      <c r="K32" s="1">
        <f>J32*Emission_factor!$C$49</f>
        <v>1292.1000000000001</v>
      </c>
    </row>
    <row r="33" spans="1:11" x14ac:dyDescent="0.25">
      <c r="A33" s="1">
        <v>32</v>
      </c>
      <c r="B33" s="1" t="s">
        <v>473</v>
      </c>
      <c r="C33" s="1" t="s">
        <v>430</v>
      </c>
      <c r="D33" s="1" t="s">
        <v>431</v>
      </c>
      <c r="E33" s="1" t="s">
        <v>475</v>
      </c>
      <c r="F33" s="1">
        <v>2</v>
      </c>
      <c r="G33" s="1">
        <v>438</v>
      </c>
      <c r="H33" s="1" t="s">
        <v>454</v>
      </c>
      <c r="I33" s="1">
        <v>2023</v>
      </c>
      <c r="J33" s="1">
        <f t="shared" si="0"/>
        <v>1752</v>
      </c>
      <c r="K33" s="1">
        <f>J33*Emission_factor!$C$49</f>
        <v>1292.1000000000001</v>
      </c>
    </row>
    <row r="34" spans="1:11" x14ac:dyDescent="0.25">
      <c r="A34" s="1">
        <v>33</v>
      </c>
      <c r="B34" s="1" t="s">
        <v>473</v>
      </c>
      <c r="C34" s="1" t="s">
        <v>478</v>
      </c>
      <c r="D34" s="1" t="s">
        <v>431</v>
      </c>
      <c r="E34" s="1" t="s">
        <v>475</v>
      </c>
      <c r="F34" s="1">
        <v>25</v>
      </c>
      <c r="G34" s="1">
        <v>438</v>
      </c>
      <c r="H34" s="1" t="s">
        <v>454</v>
      </c>
      <c r="I34" s="1">
        <v>2023</v>
      </c>
      <c r="J34" s="1">
        <f t="shared" si="0"/>
        <v>21900</v>
      </c>
      <c r="K34" s="1">
        <f>J34*Emission_factor!$C$49</f>
        <v>16151.250000000002</v>
      </c>
    </row>
    <row r="35" spans="1:11" x14ac:dyDescent="0.25">
      <c r="A35" s="1">
        <v>34</v>
      </c>
      <c r="B35" s="1" t="s">
        <v>473</v>
      </c>
      <c r="C35" s="1" t="s">
        <v>430</v>
      </c>
      <c r="D35" s="1" t="s">
        <v>431</v>
      </c>
      <c r="E35" s="1" t="s">
        <v>475</v>
      </c>
      <c r="F35" s="1">
        <v>4</v>
      </c>
      <c r="G35" s="1">
        <v>438</v>
      </c>
      <c r="H35" s="1" t="s">
        <v>454</v>
      </c>
      <c r="I35" s="1">
        <v>2023</v>
      </c>
      <c r="J35" s="1">
        <f t="shared" si="0"/>
        <v>3504</v>
      </c>
      <c r="K35" s="1">
        <f>J35*Emission_factor!$C$49</f>
        <v>2584.2000000000003</v>
      </c>
    </row>
    <row r="36" spans="1:11" x14ac:dyDescent="0.25">
      <c r="A36" s="1">
        <v>35</v>
      </c>
      <c r="B36" s="1" t="s">
        <v>473</v>
      </c>
      <c r="C36" s="1" t="s">
        <v>430</v>
      </c>
      <c r="D36" s="1" t="s">
        <v>431</v>
      </c>
      <c r="E36" s="1" t="s">
        <v>475</v>
      </c>
      <c r="F36" s="1">
        <v>1</v>
      </c>
      <c r="G36" s="1">
        <v>438</v>
      </c>
      <c r="H36" s="1" t="s">
        <v>454</v>
      </c>
      <c r="I36" s="1">
        <v>2023</v>
      </c>
      <c r="J36" s="1">
        <f t="shared" si="0"/>
        <v>876</v>
      </c>
      <c r="K36" s="1">
        <f>J36*Emission_factor!$C$49</f>
        <v>646.05000000000007</v>
      </c>
    </row>
    <row r="37" spans="1:11" x14ac:dyDescent="0.25">
      <c r="A37" s="1">
        <v>36</v>
      </c>
      <c r="B37" s="1" t="s">
        <v>473</v>
      </c>
      <c r="C37" s="1" t="s">
        <v>465</v>
      </c>
      <c r="D37" s="1" t="s">
        <v>466</v>
      </c>
      <c r="E37" s="1" t="s">
        <v>475</v>
      </c>
      <c r="F37" s="1">
        <v>14</v>
      </c>
      <c r="G37" s="1">
        <v>251</v>
      </c>
      <c r="H37" s="1" t="s">
        <v>454</v>
      </c>
      <c r="I37" s="1">
        <v>2023</v>
      </c>
      <c r="J37" s="1">
        <f t="shared" si="0"/>
        <v>7028</v>
      </c>
      <c r="K37" s="1">
        <f>J37*Emission_factor!$C$49</f>
        <v>5183.1500000000005</v>
      </c>
    </row>
    <row r="38" spans="1:11" x14ac:dyDescent="0.25">
      <c r="A38" s="1">
        <v>37</v>
      </c>
      <c r="B38" s="1" t="s">
        <v>473</v>
      </c>
      <c r="C38" s="1" t="s">
        <v>430</v>
      </c>
      <c r="D38" s="1" t="s">
        <v>431</v>
      </c>
      <c r="E38" s="1" t="s">
        <v>475</v>
      </c>
      <c r="F38" s="1">
        <v>4</v>
      </c>
      <c r="G38" s="1">
        <v>438</v>
      </c>
      <c r="H38" s="1" t="s">
        <v>454</v>
      </c>
      <c r="I38" s="1">
        <v>2023</v>
      </c>
      <c r="J38" s="1">
        <f t="shared" si="0"/>
        <v>3504</v>
      </c>
      <c r="K38" s="1">
        <f>J38*Emission_factor!$C$49</f>
        <v>2584.2000000000003</v>
      </c>
    </row>
    <row r="39" spans="1:11" x14ac:dyDescent="0.25">
      <c r="A39" s="1">
        <v>38</v>
      </c>
      <c r="B39" s="1" t="s">
        <v>473</v>
      </c>
      <c r="C39" s="1" t="s">
        <v>478</v>
      </c>
      <c r="D39" s="1" t="s">
        <v>431</v>
      </c>
      <c r="E39" s="1" t="s">
        <v>475</v>
      </c>
      <c r="F39" s="1">
        <v>3</v>
      </c>
      <c r="G39" s="1">
        <v>438</v>
      </c>
      <c r="H39" s="1" t="s">
        <v>454</v>
      </c>
      <c r="I39" s="1">
        <v>2023</v>
      </c>
      <c r="J39" s="1">
        <f t="shared" si="0"/>
        <v>2628</v>
      </c>
      <c r="K39" s="1">
        <f>J39*Emission_factor!$C$49</f>
        <v>1938.15</v>
      </c>
    </row>
    <row r="40" spans="1:11" x14ac:dyDescent="0.25">
      <c r="A40" s="1">
        <v>39</v>
      </c>
      <c r="B40" s="1" t="s">
        <v>473</v>
      </c>
      <c r="C40" s="1" t="s">
        <v>478</v>
      </c>
      <c r="D40" s="1" t="s">
        <v>431</v>
      </c>
      <c r="E40" s="1" t="s">
        <v>475</v>
      </c>
      <c r="F40" s="1">
        <v>35</v>
      </c>
      <c r="G40" s="1">
        <v>438</v>
      </c>
      <c r="H40" s="1" t="s">
        <v>454</v>
      </c>
      <c r="I40" s="1">
        <v>2023</v>
      </c>
      <c r="J40" s="1">
        <f t="shared" si="0"/>
        <v>30660</v>
      </c>
      <c r="K40" s="1">
        <f>J40*Emission_factor!$C$49</f>
        <v>22611.75</v>
      </c>
    </row>
    <row r="41" spans="1:11" x14ac:dyDescent="0.25">
      <c r="A41" s="1">
        <v>40</v>
      </c>
      <c r="B41" s="1" t="s">
        <v>473</v>
      </c>
      <c r="C41" s="1" t="s">
        <v>478</v>
      </c>
      <c r="D41" s="1" t="s">
        <v>431</v>
      </c>
      <c r="E41" s="1" t="s">
        <v>475</v>
      </c>
      <c r="F41" s="1">
        <v>12</v>
      </c>
      <c r="G41" s="1">
        <v>438</v>
      </c>
      <c r="H41" s="1" t="s">
        <v>454</v>
      </c>
      <c r="I41" s="1">
        <v>2023</v>
      </c>
      <c r="J41" s="1">
        <f t="shared" si="0"/>
        <v>10512</v>
      </c>
      <c r="K41" s="1">
        <f>J41*Emission_factor!$C$49</f>
        <v>7752.6</v>
      </c>
    </row>
    <row r="42" spans="1:11" x14ac:dyDescent="0.25">
      <c r="A42" s="1">
        <v>41</v>
      </c>
      <c r="B42" s="1" t="s">
        <v>473</v>
      </c>
      <c r="C42" s="1" t="s">
        <v>478</v>
      </c>
      <c r="D42" s="1" t="s">
        <v>431</v>
      </c>
      <c r="E42" s="1" t="s">
        <v>475</v>
      </c>
      <c r="F42" s="1">
        <v>21</v>
      </c>
      <c r="G42" s="1">
        <v>438</v>
      </c>
      <c r="H42" s="1" t="s">
        <v>454</v>
      </c>
      <c r="I42" s="1">
        <v>2023</v>
      </c>
      <c r="J42" s="1">
        <f t="shared" si="0"/>
        <v>18396</v>
      </c>
      <c r="K42" s="1">
        <f>J42*Emission_factor!$C$49</f>
        <v>13567.050000000001</v>
      </c>
    </row>
    <row r="43" spans="1:11" x14ac:dyDescent="0.25">
      <c r="A43" s="1">
        <v>42</v>
      </c>
      <c r="B43" s="1" t="s">
        <v>473</v>
      </c>
      <c r="C43" s="1" t="s">
        <v>478</v>
      </c>
      <c r="D43" s="1" t="s">
        <v>431</v>
      </c>
      <c r="E43" s="1" t="s">
        <v>475</v>
      </c>
      <c r="F43" s="1">
        <v>1</v>
      </c>
      <c r="G43" s="1">
        <v>438</v>
      </c>
      <c r="H43" s="1" t="s">
        <v>454</v>
      </c>
      <c r="I43" s="1">
        <v>2023</v>
      </c>
      <c r="J43" s="1">
        <f t="shared" si="0"/>
        <v>876</v>
      </c>
      <c r="K43" s="1">
        <f>J43*Emission_factor!$C$49</f>
        <v>646.05000000000007</v>
      </c>
    </row>
    <row r="44" spans="1:11" x14ac:dyDescent="0.25">
      <c r="A44" s="1">
        <v>43</v>
      </c>
      <c r="B44" s="1" t="s">
        <v>473</v>
      </c>
      <c r="C44" s="1" t="s">
        <v>478</v>
      </c>
      <c r="D44" s="1" t="s">
        <v>431</v>
      </c>
      <c r="E44" s="1" t="s">
        <v>475</v>
      </c>
      <c r="F44" s="1">
        <v>5</v>
      </c>
      <c r="G44" s="1">
        <v>438</v>
      </c>
      <c r="H44" s="1" t="s">
        <v>454</v>
      </c>
      <c r="I44" s="1">
        <v>2023</v>
      </c>
      <c r="J44" s="1">
        <f t="shared" si="0"/>
        <v>4380</v>
      </c>
      <c r="K44" s="1">
        <f>J44*Emission_factor!$C$49</f>
        <v>3230.25</v>
      </c>
    </row>
    <row r="45" spans="1:11" x14ac:dyDescent="0.25">
      <c r="A45" s="1">
        <v>44</v>
      </c>
      <c r="B45" s="1" t="s">
        <v>473</v>
      </c>
      <c r="C45" s="1" t="s">
        <v>479</v>
      </c>
      <c r="D45" s="1" t="s">
        <v>480</v>
      </c>
      <c r="E45" s="1" t="s">
        <v>475</v>
      </c>
      <c r="F45" s="1">
        <v>31</v>
      </c>
      <c r="G45" s="1">
        <v>538</v>
      </c>
      <c r="H45" s="1" t="s">
        <v>454</v>
      </c>
      <c r="I45" s="1">
        <v>2023</v>
      </c>
      <c r="J45" s="1">
        <f t="shared" si="0"/>
        <v>33356</v>
      </c>
      <c r="K45" s="1">
        <f>J45*Emission_factor!$C$49</f>
        <v>24600.050000000003</v>
      </c>
    </row>
    <row r="46" spans="1:11" x14ac:dyDescent="0.25">
      <c r="A46" s="1">
        <v>45</v>
      </c>
      <c r="B46" s="1" t="s">
        <v>473</v>
      </c>
      <c r="C46" s="1" t="s">
        <v>481</v>
      </c>
      <c r="D46" s="1" t="s">
        <v>482</v>
      </c>
      <c r="E46" s="1" t="s">
        <v>475</v>
      </c>
      <c r="F46" s="1">
        <v>3</v>
      </c>
      <c r="G46" s="1">
        <v>426</v>
      </c>
      <c r="H46" s="1" t="s">
        <v>454</v>
      </c>
      <c r="I46" s="1">
        <v>2023</v>
      </c>
      <c r="J46" s="1">
        <f t="shared" si="0"/>
        <v>2556</v>
      </c>
      <c r="K46" s="1">
        <f>J46*Emission_factor!$C$49</f>
        <v>1885.0500000000002</v>
      </c>
    </row>
    <row r="47" spans="1:11" x14ac:dyDescent="0.25">
      <c r="A47" s="1">
        <v>46</v>
      </c>
      <c r="B47" s="1" t="s">
        <v>473</v>
      </c>
      <c r="C47" s="1" t="s">
        <v>481</v>
      </c>
      <c r="D47" s="1" t="s">
        <v>482</v>
      </c>
      <c r="E47" s="1" t="s">
        <v>475</v>
      </c>
      <c r="F47" s="1">
        <v>4</v>
      </c>
      <c r="G47" s="1">
        <v>426</v>
      </c>
      <c r="H47" s="1" t="s">
        <v>454</v>
      </c>
      <c r="I47" s="1">
        <v>2023</v>
      </c>
      <c r="J47" s="1">
        <f t="shared" si="0"/>
        <v>3408</v>
      </c>
      <c r="K47" s="1">
        <f>J47*Emission_factor!$C$49</f>
        <v>2513.4</v>
      </c>
    </row>
    <row r="48" spans="1:11" x14ac:dyDescent="0.25">
      <c r="A48" s="1">
        <v>47</v>
      </c>
      <c r="B48" s="1" t="s">
        <v>473</v>
      </c>
      <c r="C48" s="1" t="s">
        <v>479</v>
      </c>
      <c r="D48" s="1" t="s">
        <v>480</v>
      </c>
      <c r="E48" s="1" t="s">
        <v>475</v>
      </c>
      <c r="F48" s="1">
        <v>7</v>
      </c>
      <c r="G48" s="1">
        <v>533</v>
      </c>
      <c r="H48" s="4" t="s">
        <v>151</v>
      </c>
      <c r="I48" s="1">
        <v>2023</v>
      </c>
      <c r="J48" s="1">
        <f t="shared" si="0"/>
        <v>7462</v>
      </c>
      <c r="K48" s="1">
        <f>J48*Emission_factor!$C$49</f>
        <v>5503.2250000000004</v>
      </c>
    </row>
    <row r="49" spans="1:11" x14ac:dyDescent="0.25">
      <c r="A49" s="1">
        <v>48</v>
      </c>
      <c r="B49" s="1" t="s">
        <v>473</v>
      </c>
      <c r="C49" s="1" t="s">
        <v>479</v>
      </c>
      <c r="D49" s="1" t="s">
        <v>480</v>
      </c>
      <c r="E49" s="1" t="s">
        <v>475</v>
      </c>
      <c r="F49" s="1">
        <v>3</v>
      </c>
      <c r="G49" s="1">
        <v>533</v>
      </c>
      <c r="H49" s="4" t="s">
        <v>151</v>
      </c>
      <c r="I49" s="1">
        <v>2023</v>
      </c>
      <c r="J49" s="1">
        <f t="shared" si="0"/>
        <v>3198</v>
      </c>
      <c r="K49" s="1">
        <f>J49*Emission_factor!$C$49</f>
        <v>2358.5250000000001</v>
      </c>
    </row>
    <row r="50" spans="1:11" x14ac:dyDescent="0.25">
      <c r="A50" s="1">
        <v>49</v>
      </c>
      <c r="B50" s="1" t="s">
        <v>473</v>
      </c>
      <c r="C50" s="1" t="s">
        <v>479</v>
      </c>
      <c r="D50" s="1" t="s">
        <v>480</v>
      </c>
      <c r="E50" s="1" t="s">
        <v>475</v>
      </c>
      <c r="F50" s="1">
        <v>31</v>
      </c>
      <c r="G50" s="1">
        <v>533</v>
      </c>
      <c r="H50" s="4" t="s">
        <v>151</v>
      </c>
      <c r="I50" s="1">
        <v>2023</v>
      </c>
      <c r="J50" s="1">
        <f t="shared" si="0"/>
        <v>33046</v>
      </c>
      <c r="K50" s="1">
        <f>J50*Emission_factor!$C$49</f>
        <v>24371.425000000003</v>
      </c>
    </row>
    <row r="51" spans="1:11" x14ac:dyDescent="0.25">
      <c r="A51" s="1">
        <v>50</v>
      </c>
      <c r="B51" s="1" t="s">
        <v>473</v>
      </c>
      <c r="C51" s="1" t="s">
        <v>465</v>
      </c>
      <c r="D51" s="1" t="s">
        <v>466</v>
      </c>
      <c r="E51" s="1" t="s">
        <v>475</v>
      </c>
      <c r="F51" s="1">
        <v>11</v>
      </c>
      <c r="G51" s="1">
        <v>251</v>
      </c>
      <c r="H51" s="4" t="s">
        <v>151</v>
      </c>
      <c r="I51" s="1">
        <v>2023</v>
      </c>
      <c r="J51" s="1">
        <f t="shared" si="0"/>
        <v>5522</v>
      </c>
      <c r="K51" s="1">
        <f>J51*Emission_factor!$C$49</f>
        <v>4072.4750000000004</v>
      </c>
    </row>
    <row r="52" spans="1:11" x14ac:dyDescent="0.25">
      <c r="A52" s="1">
        <v>51</v>
      </c>
      <c r="B52" s="1" t="s">
        <v>473</v>
      </c>
      <c r="C52" s="1" t="s">
        <v>465</v>
      </c>
      <c r="D52" s="1" t="s">
        <v>466</v>
      </c>
      <c r="E52" s="1" t="s">
        <v>475</v>
      </c>
      <c r="F52" s="1">
        <v>10</v>
      </c>
      <c r="G52" s="1">
        <v>251</v>
      </c>
      <c r="H52" s="4" t="s">
        <v>151</v>
      </c>
      <c r="I52" s="1">
        <v>2023</v>
      </c>
      <c r="J52" s="1">
        <f t="shared" si="0"/>
        <v>5020</v>
      </c>
      <c r="K52" s="1">
        <f>J52*Emission_factor!$C$49</f>
        <v>3702.25</v>
      </c>
    </row>
    <row r="53" spans="1:11" x14ac:dyDescent="0.25">
      <c r="A53" s="1">
        <v>52</v>
      </c>
      <c r="B53" s="1" t="s">
        <v>473</v>
      </c>
      <c r="C53" s="1" t="s">
        <v>479</v>
      </c>
      <c r="D53" s="1" t="s">
        <v>480</v>
      </c>
      <c r="E53" s="1" t="s">
        <v>475</v>
      </c>
      <c r="F53" s="1">
        <v>23</v>
      </c>
      <c r="G53" s="1">
        <v>533</v>
      </c>
      <c r="H53" s="4" t="s">
        <v>151</v>
      </c>
      <c r="I53" s="1">
        <v>2023</v>
      </c>
      <c r="J53" s="1">
        <f t="shared" si="0"/>
        <v>24518</v>
      </c>
      <c r="K53" s="1">
        <f>J53*Emission_factor!$C$49</f>
        <v>18082.025000000001</v>
      </c>
    </row>
    <row r="54" spans="1:11" x14ac:dyDescent="0.25">
      <c r="A54" s="1">
        <v>53</v>
      </c>
      <c r="B54" s="1" t="s">
        <v>473</v>
      </c>
      <c r="C54" s="1" t="s">
        <v>465</v>
      </c>
      <c r="D54" s="1" t="s">
        <v>466</v>
      </c>
      <c r="E54" s="1" t="s">
        <v>475</v>
      </c>
      <c r="F54" s="1">
        <v>11</v>
      </c>
      <c r="G54" s="1">
        <v>251</v>
      </c>
      <c r="H54" s="4" t="s">
        <v>151</v>
      </c>
      <c r="I54" s="1">
        <v>2023</v>
      </c>
      <c r="J54" s="1">
        <f t="shared" si="0"/>
        <v>5522</v>
      </c>
      <c r="K54" s="1">
        <f>J54*Emission_factor!$C$49</f>
        <v>4072.4750000000004</v>
      </c>
    </row>
    <row r="55" spans="1:11" x14ac:dyDescent="0.25">
      <c r="A55" s="1">
        <v>54</v>
      </c>
      <c r="B55" s="1" t="s">
        <v>473</v>
      </c>
      <c r="C55" s="1" t="s">
        <v>465</v>
      </c>
      <c r="D55" s="1" t="s">
        <v>466</v>
      </c>
      <c r="E55" s="1" t="s">
        <v>475</v>
      </c>
      <c r="F55" s="1">
        <v>6</v>
      </c>
      <c r="G55" s="1">
        <v>251</v>
      </c>
      <c r="H55" s="4" t="s">
        <v>151</v>
      </c>
      <c r="I55" s="1">
        <v>2023</v>
      </c>
      <c r="J55" s="1">
        <f t="shared" si="0"/>
        <v>3012</v>
      </c>
      <c r="K55" s="1">
        <f>J55*Emission_factor!$C$49</f>
        <v>2221.35</v>
      </c>
    </row>
    <row r="56" spans="1:11" x14ac:dyDescent="0.25">
      <c r="A56" s="1">
        <v>55</v>
      </c>
      <c r="B56" s="1" t="s">
        <v>473</v>
      </c>
      <c r="C56" s="1" t="s">
        <v>416</v>
      </c>
      <c r="D56" s="1" t="s">
        <v>421</v>
      </c>
      <c r="E56" s="1" t="s">
        <v>475</v>
      </c>
      <c r="F56" s="1">
        <v>34</v>
      </c>
      <c r="G56" s="1">
        <v>51</v>
      </c>
      <c r="H56" s="4" t="s">
        <v>151</v>
      </c>
      <c r="I56" s="1">
        <v>2023</v>
      </c>
      <c r="J56" s="1">
        <f t="shared" si="0"/>
        <v>3468</v>
      </c>
      <c r="K56" s="1">
        <f>J56*Emission_factor!$C$49</f>
        <v>2557.65</v>
      </c>
    </row>
    <row r="57" spans="1:11" x14ac:dyDescent="0.25">
      <c r="A57" s="1">
        <v>56</v>
      </c>
      <c r="B57" s="1" t="s">
        <v>473</v>
      </c>
      <c r="C57" s="1" t="s">
        <v>416</v>
      </c>
      <c r="D57" s="1" t="s">
        <v>421</v>
      </c>
      <c r="E57" s="1" t="s">
        <v>475</v>
      </c>
      <c r="F57" s="1">
        <v>16</v>
      </c>
      <c r="G57" s="1">
        <v>51</v>
      </c>
      <c r="H57" s="4" t="s">
        <v>151</v>
      </c>
      <c r="I57" s="1">
        <v>2023</v>
      </c>
      <c r="J57" s="1">
        <f t="shared" si="0"/>
        <v>1632</v>
      </c>
      <c r="K57" s="1">
        <f>J57*Emission_factor!$C$49</f>
        <v>1203.6000000000001</v>
      </c>
    </row>
    <row r="58" spans="1:11" x14ac:dyDescent="0.25">
      <c r="A58" s="1">
        <v>57</v>
      </c>
      <c r="B58" s="1" t="s">
        <v>473</v>
      </c>
      <c r="C58" s="1" t="s">
        <v>416</v>
      </c>
      <c r="D58" s="1" t="s">
        <v>421</v>
      </c>
      <c r="E58" s="1" t="s">
        <v>475</v>
      </c>
      <c r="F58" s="1">
        <v>42</v>
      </c>
      <c r="G58" s="1">
        <v>51</v>
      </c>
      <c r="H58" s="4" t="s">
        <v>151</v>
      </c>
      <c r="I58" s="1">
        <v>2023</v>
      </c>
      <c r="J58" s="1">
        <f t="shared" si="0"/>
        <v>4284</v>
      </c>
      <c r="K58" s="1">
        <f>J58*Emission_factor!$C$49</f>
        <v>3159.4500000000003</v>
      </c>
    </row>
    <row r="59" spans="1:11" x14ac:dyDescent="0.25">
      <c r="A59" s="1">
        <v>58</v>
      </c>
      <c r="B59" s="1" t="s">
        <v>473</v>
      </c>
      <c r="C59" s="1" t="s">
        <v>416</v>
      </c>
      <c r="D59" s="1" t="s">
        <v>421</v>
      </c>
      <c r="E59" s="1" t="s">
        <v>475</v>
      </c>
      <c r="F59" s="1">
        <v>25</v>
      </c>
      <c r="G59" s="1">
        <v>51</v>
      </c>
      <c r="H59" s="4" t="s">
        <v>151</v>
      </c>
      <c r="I59" s="1">
        <v>2023</v>
      </c>
      <c r="J59" s="1">
        <f t="shared" si="0"/>
        <v>2550</v>
      </c>
      <c r="K59" s="1">
        <f>J59*Emission_factor!$C$49</f>
        <v>1880.625</v>
      </c>
    </row>
    <row r="60" spans="1:11" x14ac:dyDescent="0.25">
      <c r="A60" s="1">
        <v>59</v>
      </c>
      <c r="B60" s="1" t="s">
        <v>473</v>
      </c>
      <c r="C60" s="1" t="s">
        <v>479</v>
      </c>
      <c r="D60" s="1" t="s">
        <v>480</v>
      </c>
      <c r="E60" s="1" t="s">
        <v>475</v>
      </c>
      <c r="F60" s="1">
        <v>16</v>
      </c>
      <c r="G60" s="1">
        <v>533</v>
      </c>
      <c r="H60" s="4" t="s">
        <v>151</v>
      </c>
      <c r="I60" s="1">
        <v>2023</v>
      </c>
      <c r="J60" s="1">
        <f t="shared" si="0"/>
        <v>17056</v>
      </c>
      <c r="K60" s="1">
        <f>J60*Emission_factor!$C$49</f>
        <v>12578.800000000001</v>
      </c>
    </row>
    <row r="61" spans="1:11" x14ac:dyDescent="0.25">
      <c r="A61" s="1">
        <v>60</v>
      </c>
      <c r="B61" s="1" t="s">
        <v>473</v>
      </c>
      <c r="C61" s="1" t="s">
        <v>479</v>
      </c>
      <c r="D61" s="1" t="s">
        <v>480</v>
      </c>
      <c r="E61" s="1" t="s">
        <v>475</v>
      </c>
      <c r="F61" s="1">
        <v>3</v>
      </c>
      <c r="G61" s="1">
        <v>533</v>
      </c>
      <c r="H61" s="4" t="s">
        <v>151</v>
      </c>
      <c r="I61" s="1">
        <v>2023</v>
      </c>
      <c r="J61" s="1">
        <f t="shared" si="0"/>
        <v>3198</v>
      </c>
      <c r="K61" s="1">
        <f>J61*Emission_factor!$C$49</f>
        <v>2358.5250000000001</v>
      </c>
    </row>
    <row r="62" spans="1:11" x14ac:dyDescent="0.25">
      <c r="A62" s="1">
        <v>61</v>
      </c>
      <c r="B62" s="1" t="s">
        <v>473</v>
      </c>
      <c r="C62" s="1" t="s">
        <v>430</v>
      </c>
      <c r="D62" s="1" t="s">
        <v>431</v>
      </c>
      <c r="E62" s="1" t="s">
        <v>475</v>
      </c>
      <c r="F62" s="1">
        <v>17</v>
      </c>
      <c r="G62" s="1">
        <v>438</v>
      </c>
      <c r="H62" s="4" t="s">
        <v>151</v>
      </c>
      <c r="I62" s="1">
        <v>2023</v>
      </c>
      <c r="J62" s="1">
        <f t="shared" si="0"/>
        <v>14892</v>
      </c>
      <c r="K62" s="1">
        <f>J62*Emission_factor!$C$49</f>
        <v>10982.85</v>
      </c>
    </row>
    <row r="63" spans="1:11" x14ac:dyDescent="0.25">
      <c r="A63" s="1">
        <v>62</v>
      </c>
      <c r="B63" s="1" t="s">
        <v>473</v>
      </c>
      <c r="C63" s="1" t="s">
        <v>479</v>
      </c>
      <c r="D63" s="1" t="s">
        <v>480</v>
      </c>
      <c r="E63" s="1" t="s">
        <v>475</v>
      </c>
      <c r="F63" s="1">
        <v>65</v>
      </c>
      <c r="G63" s="1">
        <v>533</v>
      </c>
      <c r="H63" s="4" t="s">
        <v>151</v>
      </c>
      <c r="I63" s="1">
        <v>2023</v>
      </c>
      <c r="J63" s="1">
        <f t="shared" si="0"/>
        <v>69290</v>
      </c>
      <c r="K63" s="1">
        <f>J63*Emission_factor!$C$49</f>
        <v>51101.375</v>
      </c>
    </row>
    <row r="64" spans="1:11" x14ac:dyDescent="0.25">
      <c r="A64" s="1">
        <v>63</v>
      </c>
      <c r="B64" s="1" t="s">
        <v>473</v>
      </c>
      <c r="C64" s="1" t="s">
        <v>478</v>
      </c>
      <c r="D64" s="1" t="s">
        <v>431</v>
      </c>
      <c r="E64" s="1" t="s">
        <v>475</v>
      </c>
      <c r="F64" s="1">
        <v>44</v>
      </c>
      <c r="G64" s="1">
        <v>438</v>
      </c>
      <c r="H64" s="4" t="s">
        <v>151</v>
      </c>
      <c r="I64" s="1">
        <v>2023</v>
      </c>
      <c r="J64" s="1">
        <f t="shared" si="0"/>
        <v>38544</v>
      </c>
      <c r="K64" s="1">
        <f>J64*Emission_factor!$C$49</f>
        <v>28426.2</v>
      </c>
    </row>
    <row r="65" spans="1:11" x14ac:dyDescent="0.25">
      <c r="A65" s="1">
        <v>64</v>
      </c>
      <c r="B65" s="1" t="s">
        <v>473</v>
      </c>
      <c r="C65" s="1" t="s">
        <v>430</v>
      </c>
      <c r="D65" s="1" t="s">
        <v>431</v>
      </c>
      <c r="E65" s="1" t="s">
        <v>475</v>
      </c>
      <c r="F65" s="1">
        <v>28</v>
      </c>
      <c r="G65" s="1">
        <v>438</v>
      </c>
      <c r="H65" s="4" t="s">
        <v>151</v>
      </c>
      <c r="I65" s="1">
        <v>2023</v>
      </c>
      <c r="J65" s="1">
        <f t="shared" si="0"/>
        <v>24528</v>
      </c>
      <c r="K65" s="1">
        <f>J65*Emission_factor!$C$49</f>
        <v>18089.400000000001</v>
      </c>
    </row>
    <row r="66" spans="1:11" x14ac:dyDescent="0.25">
      <c r="A66" s="1">
        <v>65</v>
      </c>
      <c r="B66" s="1" t="s">
        <v>473</v>
      </c>
      <c r="C66" s="1" t="s">
        <v>478</v>
      </c>
      <c r="D66" s="1" t="s">
        <v>431</v>
      </c>
      <c r="E66" s="1" t="s">
        <v>475</v>
      </c>
      <c r="F66" s="1">
        <v>4</v>
      </c>
      <c r="G66" s="1">
        <v>438</v>
      </c>
      <c r="H66" s="4" t="s">
        <v>151</v>
      </c>
      <c r="I66" s="1">
        <v>2023</v>
      </c>
      <c r="J66" s="1">
        <f t="shared" si="0"/>
        <v>3504</v>
      </c>
      <c r="K66" s="1">
        <f>J66*Emission_factor!$C$49</f>
        <v>2584.2000000000003</v>
      </c>
    </row>
    <row r="67" spans="1:11" x14ac:dyDescent="0.25">
      <c r="A67" s="1">
        <v>66</v>
      </c>
      <c r="B67" s="1" t="s">
        <v>473</v>
      </c>
      <c r="C67" s="1" t="s">
        <v>430</v>
      </c>
      <c r="D67" s="1" t="s">
        <v>431</v>
      </c>
      <c r="E67" s="1" t="s">
        <v>475</v>
      </c>
      <c r="F67" s="1">
        <v>1</v>
      </c>
      <c r="G67" s="1">
        <v>438</v>
      </c>
      <c r="H67" s="4" t="s">
        <v>151</v>
      </c>
      <c r="I67" s="1">
        <v>2023</v>
      </c>
      <c r="J67" s="1">
        <f t="shared" ref="J67:J122" si="1">G67*F67*2</f>
        <v>876</v>
      </c>
      <c r="K67" s="1">
        <f>J67*Emission_factor!$C$49</f>
        <v>646.05000000000007</v>
      </c>
    </row>
    <row r="68" spans="1:11" x14ac:dyDescent="0.25">
      <c r="A68" s="1">
        <v>67</v>
      </c>
      <c r="B68" s="1" t="s">
        <v>473</v>
      </c>
      <c r="C68" s="1" t="s">
        <v>479</v>
      </c>
      <c r="D68" s="1" t="s">
        <v>480</v>
      </c>
      <c r="E68" s="1" t="s">
        <v>475</v>
      </c>
      <c r="F68" s="1">
        <v>54</v>
      </c>
      <c r="G68" s="1">
        <v>533</v>
      </c>
      <c r="H68" s="4" t="s">
        <v>151</v>
      </c>
      <c r="I68" s="1">
        <v>2023</v>
      </c>
      <c r="J68" s="1">
        <f t="shared" si="1"/>
        <v>57564</v>
      </c>
      <c r="K68" s="1">
        <f>J68*Emission_factor!$C$49</f>
        <v>42453.450000000004</v>
      </c>
    </row>
    <row r="69" spans="1:11" x14ac:dyDescent="0.25">
      <c r="A69" s="1">
        <v>68</v>
      </c>
      <c r="B69" s="1" t="s">
        <v>473</v>
      </c>
      <c r="C69" s="1" t="s">
        <v>465</v>
      </c>
      <c r="D69" s="1" t="s">
        <v>466</v>
      </c>
      <c r="E69" s="1" t="s">
        <v>475</v>
      </c>
      <c r="F69" s="1">
        <v>1</v>
      </c>
      <c r="G69" s="1">
        <v>251</v>
      </c>
      <c r="H69" s="4" t="s">
        <v>151</v>
      </c>
      <c r="I69" s="1">
        <v>2023</v>
      </c>
      <c r="J69" s="1">
        <f t="shared" si="1"/>
        <v>502</v>
      </c>
      <c r="K69" s="1">
        <f>J69*Emission_factor!$C$49</f>
        <v>370.22500000000002</v>
      </c>
    </row>
    <row r="70" spans="1:11" x14ac:dyDescent="0.25">
      <c r="A70" s="1">
        <v>69</v>
      </c>
      <c r="B70" s="1" t="s">
        <v>473</v>
      </c>
      <c r="C70" s="1" t="s">
        <v>478</v>
      </c>
      <c r="D70" s="1" t="s">
        <v>431</v>
      </c>
      <c r="E70" s="1" t="s">
        <v>475</v>
      </c>
      <c r="F70" s="1">
        <v>4</v>
      </c>
      <c r="G70" s="1">
        <v>438</v>
      </c>
      <c r="H70" s="4" t="s">
        <v>151</v>
      </c>
      <c r="I70" s="1">
        <v>2023</v>
      </c>
      <c r="J70" s="1">
        <f t="shared" si="1"/>
        <v>3504</v>
      </c>
      <c r="K70" s="1">
        <f>J70*Emission_factor!$C$49</f>
        <v>2584.2000000000003</v>
      </c>
    </row>
    <row r="71" spans="1:11" x14ac:dyDescent="0.25">
      <c r="A71" s="1">
        <v>70</v>
      </c>
      <c r="B71" s="1" t="s">
        <v>473</v>
      </c>
      <c r="C71" s="1" t="s">
        <v>430</v>
      </c>
      <c r="D71" s="1" t="s">
        <v>431</v>
      </c>
      <c r="E71" s="1" t="s">
        <v>475</v>
      </c>
      <c r="F71" s="1">
        <v>19</v>
      </c>
      <c r="G71" s="1">
        <v>438</v>
      </c>
      <c r="H71" s="4" t="s">
        <v>151</v>
      </c>
      <c r="I71" s="1">
        <v>2023</v>
      </c>
      <c r="J71" s="1">
        <f t="shared" si="1"/>
        <v>16644</v>
      </c>
      <c r="K71" s="1">
        <f>J71*Emission_factor!$C$49</f>
        <v>12274.95</v>
      </c>
    </row>
    <row r="72" spans="1:11" x14ac:dyDescent="0.25">
      <c r="A72" s="1">
        <v>71</v>
      </c>
      <c r="B72" s="1" t="s">
        <v>473</v>
      </c>
      <c r="C72" s="1" t="s">
        <v>479</v>
      </c>
      <c r="D72" s="1" t="s">
        <v>480</v>
      </c>
      <c r="E72" s="1" t="s">
        <v>475</v>
      </c>
      <c r="F72" s="1">
        <v>15</v>
      </c>
      <c r="G72" s="1">
        <v>533</v>
      </c>
      <c r="H72" s="4" t="s">
        <v>151</v>
      </c>
      <c r="I72" s="1">
        <v>2023</v>
      </c>
      <c r="J72" s="1">
        <f t="shared" si="1"/>
        <v>15990</v>
      </c>
      <c r="K72" s="1">
        <f>J72*Emission_factor!$C$49</f>
        <v>11792.625</v>
      </c>
    </row>
    <row r="73" spans="1:11" x14ac:dyDescent="0.25">
      <c r="A73" s="1">
        <v>72</v>
      </c>
      <c r="B73" s="1" t="s">
        <v>473</v>
      </c>
      <c r="C73" s="1" t="s">
        <v>478</v>
      </c>
      <c r="D73" s="1" t="s">
        <v>431</v>
      </c>
      <c r="E73" s="1" t="s">
        <v>475</v>
      </c>
      <c r="F73" s="1">
        <v>3</v>
      </c>
      <c r="G73" s="1">
        <v>438</v>
      </c>
      <c r="H73" s="4" t="s">
        <v>151</v>
      </c>
      <c r="I73" s="1">
        <v>2023</v>
      </c>
      <c r="J73" s="1">
        <f t="shared" si="1"/>
        <v>2628</v>
      </c>
      <c r="K73" s="1">
        <f>J73*Emission_factor!$C$49</f>
        <v>1938.15</v>
      </c>
    </row>
    <row r="74" spans="1:11" x14ac:dyDescent="0.25">
      <c r="A74" s="1">
        <v>73</v>
      </c>
      <c r="B74" s="1" t="s">
        <v>473</v>
      </c>
      <c r="C74" s="1" t="s">
        <v>430</v>
      </c>
      <c r="D74" s="1" t="s">
        <v>431</v>
      </c>
      <c r="E74" s="1" t="s">
        <v>475</v>
      </c>
      <c r="F74" s="1">
        <v>6</v>
      </c>
      <c r="G74" s="1">
        <v>438</v>
      </c>
      <c r="H74" s="4" t="s">
        <v>151</v>
      </c>
      <c r="I74" s="1">
        <v>2023</v>
      </c>
      <c r="J74" s="1">
        <f t="shared" si="1"/>
        <v>5256</v>
      </c>
      <c r="K74" s="1">
        <f>J74*Emission_factor!$C$49</f>
        <v>3876.3</v>
      </c>
    </row>
    <row r="75" spans="1:11" x14ac:dyDescent="0.25">
      <c r="A75" s="1">
        <v>74</v>
      </c>
      <c r="B75" s="1" t="s">
        <v>473</v>
      </c>
      <c r="C75" s="1" t="s">
        <v>479</v>
      </c>
      <c r="D75" s="1" t="s">
        <v>480</v>
      </c>
      <c r="E75" s="1" t="s">
        <v>475</v>
      </c>
      <c r="F75" s="1">
        <v>1</v>
      </c>
      <c r="G75" s="1">
        <v>533</v>
      </c>
      <c r="H75" s="4" t="s">
        <v>151</v>
      </c>
      <c r="I75" s="1">
        <v>2023</v>
      </c>
      <c r="J75" s="1">
        <f t="shared" si="1"/>
        <v>1066</v>
      </c>
      <c r="K75" s="1">
        <f>J75*Emission_factor!$C$49</f>
        <v>786.17500000000007</v>
      </c>
    </row>
    <row r="76" spans="1:11" x14ac:dyDescent="0.25">
      <c r="A76" s="1">
        <v>75</v>
      </c>
      <c r="B76" s="1" t="s">
        <v>473</v>
      </c>
      <c r="C76" s="1" t="s">
        <v>478</v>
      </c>
      <c r="D76" s="1" t="s">
        <v>431</v>
      </c>
      <c r="E76" s="1" t="s">
        <v>475</v>
      </c>
      <c r="F76" s="1">
        <v>4</v>
      </c>
      <c r="G76" s="1">
        <v>438</v>
      </c>
      <c r="H76" s="4" t="s">
        <v>151</v>
      </c>
      <c r="I76" s="1">
        <v>2023</v>
      </c>
      <c r="J76" s="1">
        <f t="shared" si="1"/>
        <v>3504</v>
      </c>
      <c r="K76" s="1">
        <f>J76*Emission_factor!$C$49</f>
        <v>2584.2000000000003</v>
      </c>
    </row>
    <row r="77" spans="1:11" x14ac:dyDescent="0.25">
      <c r="A77" s="1">
        <v>76</v>
      </c>
      <c r="B77" s="1" t="s">
        <v>473</v>
      </c>
      <c r="C77" s="1" t="s">
        <v>478</v>
      </c>
      <c r="D77" s="1" t="s">
        <v>431</v>
      </c>
      <c r="E77" s="1" t="s">
        <v>475</v>
      </c>
      <c r="F77" s="1">
        <v>40</v>
      </c>
      <c r="G77" s="1">
        <v>438</v>
      </c>
      <c r="H77" s="4" t="s">
        <v>151</v>
      </c>
      <c r="I77" s="1">
        <v>2023</v>
      </c>
      <c r="J77" s="1">
        <f t="shared" si="1"/>
        <v>35040</v>
      </c>
      <c r="K77" s="1">
        <f>J77*Emission_factor!$C$49</f>
        <v>25842</v>
      </c>
    </row>
    <row r="78" spans="1:11" x14ac:dyDescent="0.25">
      <c r="A78" s="1">
        <v>77</v>
      </c>
      <c r="B78" s="1" t="s">
        <v>473</v>
      </c>
      <c r="C78" s="1" t="s">
        <v>478</v>
      </c>
      <c r="D78" s="1" t="s">
        <v>431</v>
      </c>
      <c r="E78" s="1" t="s">
        <v>475</v>
      </c>
      <c r="F78" s="1">
        <v>8</v>
      </c>
      <c r="G78" s="1">
        <v>438</v>
      </c>
      <c r="H78" s="4" t="s">
        <v>151</v>
      </c>
      <c r="I78" s="1">
        <v>2023</v>
      </c>
      <c r="J78" s="1">
        <f t="shared" si="1"/>
        <v>7008</v>
      </c>
      <c r="K78" s="1">
        <f>J78*Emission_factor!$C$49</f>
        <v>5168.4000000000005</v>
      </c>
    </row>
    <row r="79" spans="1:11" x14ac:dyDescent="0.25">
      <c r="A79" s="1">
        <v>78</v>
      </c>
      <c r="B79" s="1" t="s">
        <v>473</v>
      </c>
      <c r="C79" s="1" t="s">
        <v>430</v>
      </c>
      <c r="D79" s="1" t="s">
        <v>431</v>
      </c>
      <c r="E79" s="1" t="s">
        <v>475</v>
      </c>
      <c r="F79" s="1">
        <v>30</v>
      </c>
      <c r="G79" s="1">
        <v>438</v>
      </c>
      <c r="H79" s="4" t="s">
        <v>151</v>
      </c>
      <c r="I79" s="1">
        <v>2023</v>
      </c>
      <c r="J79" s="1">
        <f t="shared" si="1"/>
        <v>26280</v>
      </c>
      <c r="K79" s="1">
        <f>J79*Emission_factor!$C$49</f>
        <v>19381.5</v>
      </c>
    </row>
    <row r="80" spans="1:11" x14ac:dyDescent="0.25">
      <c r="A80" s="1">
        <v>79</v>
      </c>
      <c r="B80" s="1" t="s">
        <v>473</v>
      </c>
      <c r="C80" s="1" t="s">
        <v>479</v>
      </c>
      <c r="D80" s="1" t="s">
        <v>480</v>
      </c>
      <c r="E80" s="1" t="s">
        <v>475</v>
      </c>
      <c r="F80" s="1">
        <v>1</v>
      </c>
      <c r="G80" s="1">
        <v>533</v>
      </c>
      <c r="H80" s="4" t="s">
        <v>151</v>
      </c>
      <c r="I80" s="1">
        <v>2023</v>
      </c>
      <c r="J80" s="1">
        <f t="shared" si="1"/>
        <v>1066</v>
      </c>
      <c r="K80" s="1">
        <f>J80*Emission_factor!$C$49</f>
        <v>786.17500000000007</v>
      </c>
    </row>
    <row r="81" spans="1:11" x14ac:dyDescent="0.25">
      <c r="A81" s="1">
        <v>80</v>
      </c>
      <c r="B81" s="1" t="s">
        <v>473</v>
      </c>
      <c r="C81" s="1" t="s">
        <v>478</v>
      </c>
      <c r="D81" s="1" t="s">
        <v>431</v>
      </c>
      <c r="E81" s="1" t="s">
        <v>475</v>
      </c>
      <c r="F81" s="1">
        <v>6</v>
      </c>
      <c r="G81" s="1">
        <v>438</v>
      </c>
      <c r="H81" s="4" t="s">
        <v>151</v>
      </c>
      <c r="I81" s="1">
        <v>2023</v>
      </c>
      <c r="J81" s="1">
        <f t="shared" si="1"/>
        <v>5256</v>
      </c>
      <c r="K81" s="1">
        <f>J81*Emission_factor!$C$49</f>
        <v>3876.3</v>
      </c>
    </row>
    <row r="82" spans="1:11" x14ac:dyDescent="0.25">
      <c r="A82" s="1">
        <v>81</v>
      </c>
      <c r="B82" s="1" t="s">
        <v>473</v>
      </c>
      <c r="C82" s="1" t="s">
        <v>430</v>
      </c>
      <c r="D82" s="1" t="s">
        <v>431</v>
      </c>
      <c r="E82" s="1" t="s">
        <v>475</v>
      </c>
      <c r="F82" s="1">
        <v>28</v>
      </c>
      <c r="G82" s="1">
        <v>438</v>
      </c>
      <c r="H82" s="4" t="s">
        <v>151</v>
      </c>
      <c r="I82" s="1">
        <v>2023</v>
      </c>
      <c r="J82" s="1">
        <f t="shared" si="1"/>
        <v>24528</v>
      </c>
      <c r="K82" s="1">
        <f>J82*Emission_factor!$C$49</f>
        <v>18089.400000000001</v>
      </c>
    </row>
    <row r="83" spans="1:11" x14ac:dyDescent="0.25">
      <c r="A83" s="1">
        <v>82</v>
      </c>
      <c r="B83" s="1" t="s">
        <v>473</v>
      </c>
      <c r="C83" s="1" t="s">
        <v>479</v>
      </c>
      <c r="D83" s="1" t="s">
        <v>480</v>
      </c>
      <c r="E83" s="1" t="s">
        <v>475</v>
      </c>
      <c r="F83" s="1">
        <v>36</v>
      </c>
      <c r="G83" s="1">
        <v>533</v>
      </c>
      <c r="H83" s="4" t="s">
        <v>151</v>
      </c>
      <c r="I83" s="1">
        <v>2023</v>
      </c>
      <c r="J83" s="1">
        <f t="shared" si="1"/>
        <v>38376</v>
      </c>
      <c r="K83" s="1">
        <f>J83*Emission_factor!$C$49</f>
        <v>28302.300000000003</v>
      </c>
    </row>
    <row r="84" spans="1:11" x14ac:dyDescent="0.25">
      <c r="A84" s="1">
        <v>83</v>
      </c>
      <c r="B84" s="1" t="s">
        <v>473</v>
      </c>
      <c r="C84" s="1" t="s">
        <v>430</v>
      </c>
      <c r="D84" s="1" t="s">
        <v>431</v>
      </c>
      <c r="E84" s="1" t="s">
        <v>475</v>
      </c>
      <c r="F84" s="1">
        <v>1</v>
      </c>
      <c r="G84" s="1">
        <v>438</v>
      </c>
      <c r="H84" s="4" t="s">
        <v>151</v>
      </c>
      <c r="I84" s="1">
        <v>2023</v>
      </c>
      <c r="J84" s="1">
        <f t="shared" si="1"/>
        <v>876</v>
      </c>
      <c r="K84" s="1">
        <f>J84*Emission_factor!$C$49</f>
        <v>646.05000000000007</v>
      </c>
    </row>
    <row r="85" spans="1:11" x14ac:dyDescent="0.25">
      <c r="A85" s="1">
        <v>84</v>
      </c>
      <c r="B85" s="1" t="s">
        <v>473</v>
      </c>
      <c r="C85" s="1" t="s">
        <v>430</v>
      </c>
      <c r="D85" s="1" t="s">
        <v>431</v>
      </c>
      <c r="E85" s="1" t="s">
        <v>475</v>
      </c>
      <c r="F85" s="1">
        <v>4</v>
      </c>
      <c r="G85" s="1">
        <v>438</v>
      </c>
      <c r="H85" s="4" t="s">
        <v>151</v>
      </c>
      <c r="I85" s="1">
        <v>2023</v>
      </c>
      <c r="J85" s="1">
        <f t="shared" si="1"/>
        <v>3504</v>
      </c>
      <c r="K85" s="1">
        <f>J85*Emission_factor!$C$49</f>
        <v>2584.2000000000003</v>
      </c>
    </row>
    <row r="86" spans="1:11" x14ac:dyDescent="0.25">
      <c r="A86" s="1">
        <v>85</v>
      </c>
      <c r="B86" s="1" t="s">
        <v>473</v>
      </c>
      <c r="C86" s="1" t="s">
        <v>478</v>
      </c>
      <c r="D86" s="1" t="s">
        <v>431</v>
      </c>
      <c r="E86" s="1" t="s">
        <v>475</v>
      </c>
      <c r="F86" s="1">
        <v>27</v>
      </c>
      <c r="G86" s="1">
        <v>438</v>
      </c>
      <c r="H86" s="4" t="s">
        <v>151</v>
      </c>
      <c r="I86" s="1">
        <v>2023</v>
      </c>
      <c r="J86" s="1">
        <f t="shared" si="1"/>
        <v>23652</v>
      </c>
      <c r="K86" s="1">
        <f>J86*Emission_factor!$C$49</f>
        <v>17443.350000000002</v>
      </c>
    </row>
    <row r="87" spans="1:11" x14ac:dyDescent="0.25">
      <c r="A87" s="1">
        <v>86</v>
      </c>
      <c r="B87" s="1" t="s">
        <v>473</v>
      </c>
      <c r="C87" s="1" t="s">
        <v>430</v>
      </c>
      <c r="D87" s="1" t="s">
        <v>431</v>
      </c>
      <c r="E87" s="1" t="s">
        <v>475</v>
      </c>
      <c r="F87" s="1">
        <v>7</v>
      </c>
      <c r="G87" s="1">
        <v>438</v>
      </c>
      <c r="H87" s="4" t="s">
        <v>151</v>
      </c>
      <c r="I87" s="1">
        <v>2023</v>
      </c>
      <c r="J87" s="1">
        <f t="shared" si="1"/>
        <v>6132</v>
      </c>
      <c r="K87" s="1">
        <f>J87*Emission_factor!$C$49</f>
        <v>4522.3500000000004</v>
      </c>
    </row>
    <row r="88" spans="1:11" x14ac:dyDescent="0.25">
      <c r="A88" s="1">
        <v>87</v>
      </c>
      <c r="B88" s="1" t="s">
        <v>473</v>
      </c>
      <c r="C88" s="1" t="s">
        <v>479</v>
      </c>
      <c r="D88" s="1" t="s">
        <v>480</v>
      </c>
      <c r="E88" s="1" t="s">
        <v>475</v>
      </c>
      <c r="F88" s="1">
        <v>3</v>
      </c>
      <c r="G88" s="1">
        <v>533</v>
      </c>
      <c r="H88" s="4" t="s">
        <v>151</v>
      </c>
      <c r="I88" s="1">
        <v>2023</v>
      </c>
      <c r="J88" s="1">
        <f t="shared" si="1"/>
        <v>3198</v>
      </c>
      <c r="K88" s="1">
        <f>J88*Emission_factor!$C$49</f>
        <v>2358.5250000000001</v>
      </c>
    </row>
    <row r="89" spans="1:11" x14ac:dyDescent="0.25">
      <c r="A89" s="1">
        <v>88</v>
      </c>
      <c r="B89" s="1" t="s">
        <v>473</v>
      </c>
      <c r="C89" s="1" t="s">
        <v>478</v>
      </c>
      <c r="D89" s="1" t="s">
        <v>431</v>
      </c>
      <c r="E89" s="1" t="s">
        <v>475</v>
      </c>
      <c r="F89" s="1">
        <v>2</v>
      </c>
      <c r="G89" s="1">
        <v>438</v>
      </c>
      <c r="H89" s="4" t="s">
        <v>151</v>
      </c>
      <c r="I89" s="1">
        <v>2023</v>
      </c>
      <c r="J89" s="1">
        <f t="shared" si="1"/>
        <v>1752</v>
      </c>
      <c r="K89" s="1">
        <f>J89*Emission_factor!$C$49</f>
        <v>1292.1000000000001</v>
      </c>
    </row>
    <row r="90" spans="1:11" x14ac:dyDescent="0.25">
      <c r="A90" s="1">
        <v>89</v>
      </c>
      <c r="B90" s="1" t="s">
        <v>473</v>
      </c>
      <c r="C90" s="1" t="s">
        <v>465</v>
      </c>
      <c r="D90" s="1" t="s">
        <v>466</v>
      </c>
      <c r="E90" s="1" t="s">
        <v>475</v>
      </c>
      <c r="F90" s="1">
        <v>7</v>
      </c>
      <c r="G90" s="1">
        <v>251</v>
      </c>
      <c r="H90" s="4" t="s">
        <v>151</v>
      </c>
      <c r="I90" s="1">
        <v>2023</v>
      </c>
      <c r="J90" s="1">
        <f t="shared" si="1"/>
        <v>3514</v>
      </c>
      <c r="K90" s="1">
        <f>J90*Emission_factor!$C$49</f>
        <v>2591.5750000000003</v>
      </c>
    </row>
    <row r="91" spans="1:11" x14ac:dyDescent="0.25">
      <c r="A91" s="1">
        <v>90</v>
      </c>
      <c r="B91" s="1" t="s">
        <v>473</v>
      </c>
      <c r="C91" s="1" t="s">
        <v>479</v>
      </c>
      <c r="D91" s="1" t="s">
        <v>483</v>
      </c>
      <c r="E91" s="1" t="s">
        <v>475</v>
      </c>
      <c r="F91" s="1">
        <v>17</v>
      </c>
      <c r="G91" s="1">
        <v>533</v>
      </c>
      <c r="H91" s="4" t="s">
        <v>152</v>
      </c>
      <c r="I91" s="1">
        <v>2023</v>
      </c>
      <c r="J91" s="1">
        <f t="shared" si="1"/>
        <v>18122</v>
      </c>
      <c r="K91" s="1">
        <f>J91*Emission_factor!$C$49</f>
        <v>13364.975</v>
      </c>
    </row>
    <row r="92" spans="1:11" x14ac:dyDescent="0.25">
      <c r="A92" s="1">
        <v>91</v>
      </c>
      <c r="B92" s="1" t="s">
        <v>473</v>
      </c>
      <c r="C92" s="1" t="s">
        <v>479</v>
      </c>
      <c r="D92" s="1" t="s">
        <v>483</v>
      </c>
      <c r="E92" s="1" t="s">
        <v>475</v>
      </c>
      <c r="F92" s="1">
        <v>17</v>
      </c>
      <c r="G92" s="1">
        <v>533</v>
      </c>
      <c r="H92" s="4" t="s">
        <v>152</v>
      </c>
      <c r="I92" s="1">
        <v>2023</v>
      </c>
      <c r="J92" s="1">
        <f t="shared" si="1"/>
        <v>18122</v>
      </c>
      <c r="K92" s="1">
        <f>J92*Emission_factor!$C$49</f>
        <v>13364.975</v>
      </c>
    </row>
    <row r="93" spans="1:11" x14ac:dyDescent="0.25">
      <c r="A93" s="1">
        <v>92</v>
      </c>
      <c r="B93" s="1" t="s">
        <v>473</v>
      </c>
      <c r="C93" s="1" t="s">
        <v>479</v>
      </c>
      <c r="D93" s="1" t="s">
        <v>483</v>
      </c>
      <c r="E93" s="1" t="s">
        <v>475</v>
      </c>
      <c r="F93" s="1">
        <v>36</v>
      </c>
      <c r="G93" s="1">
        <v>533</v>
      </c>
      <c r="H93" s="4" t="s">
        <v>152</v>
      </c>
      <c r="I93" s="1">
        <v>2023</v>
      </c>
      <c r="J93" s="1">
        <f t="shared" si="1"/>
        <v>38376</v>
      </c>
      <c r="K93" s="1">
        <f>J93*Emission_factor!$C$49</f>
        <v>28302.300000000003</v>
      </c>
    </row>
    <row r="94" spans="1:11" x14ac:dyDescent="0.25">
      <c r="A94" s="1">
        <v>93</v>
      </c>
      <c r="B94" s="1" t="s">
        <v>473</v>
      </c>
      <c r="C94" s="1" t="s">
        <v>479</v>
      </c>
      <c r="D94" s="1" t="s">
        <v>483</v>
      </c>
      <c r="E94" s="1" t="s">
        <v>475</v>
      </c>
      <c r="F94" s="1">
        <v>54</v>
      </c>
      <c r="G94" s="1">
        <v>533</v>
      </c>
      <c r="H94" s="4" t="s">
        <v>152</v>
      </c>
      <c r="I94" s="1">
        <v>2023</v>
      </c>
      <c r="J94" s="1">
        <f t="shared" si="1"/>
        <v>57564</v>
      </c>
      <c r="K94" s="1">
        <f>J94*Emission_factor!$C$49</f>
        <v>42453.450000000004</v>
      </c>
    </row>
    <row r="95" spans="1:11" x14ac:dyDescent="0.25">
      <c r="A95" s="1">
        <v>94</v>
      </c>
      <c r="B95" s="1" t="s">
        <v>473</v>
      </c>
      <c r="C95" s="1" t="s">
        <v>479</v>
      </c>
      <c r="D95" s="1" t="s">
        <v>483</v>
      </c>
      <c r="E95" s="1" t="s">
        <v>475</v>
      </c>
      <c r="F95" s="1">
        <v>53</v>
      </c>
      <c r="G95" s="1">
        <v>533</v>
      </c>
      <c r="H95" s="4" t="s">
        <v>152</v>
      </c>
      <c r="I95" s="1">
        <v>2023</v>
      </c>
      <c r="J95" s="1">
        <f t="shared" si="1"/>
        <v>56498</v>
      </c>
      <c r="K95" s="1">
        <f>J95*Emission_factor!$C$49</f>
        <v>41667.275000000001</v>
      </c>
    </row>
    <row r="96" spans="1:11" x14ac:dyDescent="0.25">
      <c r="A96" s="1">
        <v>95</v>
      </c>
      <c r="B96" s="1" t="s">
        <v>473</v>
      </c>
      <c r="C96" s="1" t="s">
        <v>479</v>
      </c>
      <c r="D96" s="1" t="s">
        <v>483</v>
      </c>
      <c r="E96" s="1" t="s">
        <v>475</v>
      </c>
      <c r="F96" s="1">
        <v>6</v>
      </c>
      <c r="G96" s="1">
        <v>533</v>
      </c>
      <c r="H96" s="4" t="s">
        <v>152</v>
      </c>
      <c r="I96" s="1">
        <v>2023</v>
      </c>
      <c r="J96" s="1">
        <f t="shared" si="1"/>
        <v>6396</v>
      </c>
      <c r="K96" s="1">
        <f>J96*Emission_factor!$C$49</f>
        <v>4717.05</v>
      </c>
    </row>
    <row r="97" spans="1:11" x14ac:dyDescent="0.25">
      <c r="A97" s="1">
        <v>96</v>
      </c>
      <c r="B97" s="1" t="s">
        <v>473</v>
      </c>
      <c r="C97" s="1" t="s">
        <v>430</v>
      </c>
      <c r="D97" s="1" t="s">
        <v>431</v>
      </c>
      <c r="E97" s="1" t="s">
        <v>475</v>
      </c>
      <c r="F97" s="1">
        <v>57</v>
      </c>
      <c r="G97" s="1">
        <v>438</v>
      </c>
      <c r="H97" s="4" t="s">
        <v>152</v>
      </c>
      <c r="I97" s="1">
        <v>2023</v>
      </c>
      <c r="J97" s="1">
        <f t="shared" si="1"/>
        <v>49932</v>
      </c>
      <c r="K97" s="1">
        <f>J97*Emission_factor!$C$49</f>
        <v>36824.850000000006</v>
      </c>
    </row>
    <row r="98" spans="1:11" x14ac:dyDescent="0.25">
      <c r="A98" s="1">
        <v>97</v>
      </c>
      <c r="B98" s="1" t="s">
        <v>473</v>
      </c>
      <c r="C98" s="1" t="s">
        <v>465</v>
      </c>
      <c r="D98" s="1" t="s">
        <v>466</v>
      </c>
      <c r="E98" s="1" t="s">
        <v>475</v>
      </c>
      <c r="F98" s="1">
        <v>26</v>
      </c>
      <c r="G98" s="1">
        <v>251</v>
      </c>
      <c r="H98" s="4" t="s">
        <v>152</v>
      </c>
      <c r="I98" s="1">
        <v>2023</v>
      </c>
      <c r="J98" s="1">
        <f t="shared" si="1"/>
        <v>13052</v>
      </c>
      <c r="K98" s="1">
        <f>J98*Emission_factor!$C$49</f>
        <v>9625.85</v>
      </c>
    </row>
    <row r="99" spans="1:11" x14ac:dyDescent="0.25">
      <c r="A99" s="1">
        <v>98</v>
      </c>
      <c r="B99" s="1" t="s">
        <v>473</v>
      </c>
      <c r="C99" s="1" t="s">
        <v>430</v>
      </c>
      <c r="D99" s="1" t="s">
        <v>431</v>
      </c>
      <c r="E99" s="1" t="s">
        <v>475</v>
      </c>
      <c r="F99" s="1">
        <v>33</v>
      </c>
      <c r="G99" s="1">
        <v>438</v>
      </c>
      <c r="H99" s="4" t="s">
        <v>152</v>
      </c>
      <c r="I99" s="1">
        <v>2023</v>
      </c>
      <c r="J99" s="1">
        <f t="shared" si="1"/>
        <v>28908</v>
      </c>
      <c r="K99" s="1">
        <f>J99*Emission_factor!$C$49</f>
        <v>21319.65</v>
      </c>
    </row>
    <row r="100" spans="1:11" x14ac:dyDescent="0.25">
      <c r="A100" s="1">
        <v>99</v>
      </c>
      <c r="B100" s="1" t="s">
        <v>473</v>
      </c>
      <c r="C100" s="1" t="s">
        <v>465</v>
      </c>
      <c r="D100" s="1" t="s">
        <v>466</v>
      </c>
      <c r="E100" s="1" t="s">
        <v>475</v>
      </c>
      <c r="F100" s="1">
        <v>10</v>
      </c>
      <c r="G100" s="1">
        <v>251</v>
      </c>
      <c r="H100" s="4" t="s">
        <v>152</v>
      </c>
      <c r="I100" s="1">
        <v>2023</v>
      </c>
      <c r="J100" s="1">
        <f t="shared" si="1"/>
        <v>5020</v>
      </c>
      <c r="K100" s="1">
        <f>J100*Emission_factor!$C$49</f>
        <v>3702.25</v>
      </c>
    </row>
    <row r="101" spans="1:11" x14ac:dyDescent="0.25">
      <c r="A101" s="1">
        <v>100</v>
      </c>
      <c r="B101" s="1" t="s">
        <v>473</v>
      </c>
      <c r="C101" s="1" t="s">
        <v>430</v>
      </c>
      <c r="D101" s="1" t="s">
        <v>431</v>
      </c>
      <c r="E101" s="1" t="s">
        <v>475</v>
      </c>
      <c r="F101" s="1">
        <v>2</v>
      </c>
      <c r="G101" s="1">
        <v>438</v>
      </c>
      <c r="H101" s="4" t="s">
        <v>152</v>
      </c>
      <c r="I101" s="1">
        <v>2023</v>
      </c>
      <c r="J101" s="1">
        <f t="shared" si="1"/>
        <v>1752</v>
      </c>
      <c r="K101" s="1">
        <f>J101*Emission_factor!$C$49</f>
        <v>1292.1000000000001</v>
      </c>
    </row>
    <row r="102" spans="1:11" x14ac:dyDescent="0.25">
      <c r="A102" s="1">
        <v>101</v>
      </c>
      <c r="B102" s="1" t="s">
        <v>473</v>
      </c>
      <c r="C102" s="1" t="s">
        <v>430</v>
      </c>
      <c r="D102" s="1" t="s">
        <v>431</v>
      </c>
      <c r="E102" s="1" t="s">
        <v>475</v>
      </c>
      <c r="F102" s="1">
        <v>1</v>
      </c>
      <c r="G102" s="1">
        <v>438</v>
      </c>
      <c r="H102" s="4" t="s">
        <v>152</v>
      </c>
      <c r="I102" s="1">
        <v>2023</v>
      </c>
      <c r="J102" s="1">
        <f t="shared" si="1"/>
        <v>876</v>
      </c>
      <c r="K102" s="1">
        <f>J102*Emission_factor!$C$49</f>
        <v>646.05000000000007</v>
      </c>
    </row>
    <row r="103" spans="1:11" x14ac:dyDescent="0.25">
      <c r="A103" s="1">
        <v>102</v>
      </c>
      <c r="B103" s="1" t="s">
        <v>473</v>
      </c>
      <c r="C103" s="1" t="s">
        <v>465</v>
      </c>
      <c r="D103" s="1" t="s">
        <v>466</v>
      </c>
      <c r="E103" s="1" t="s">
        <v>475</v>
      </c>
      <c r="F103" s="1">
        <v>37</v>
      </c>
      <c r="G103" s="1">
        <v>251</v>
      </c>
      <c r="H103" s="4" t="s">
        <v>152</v>
      </c>
      <c r="I103" s="1">
        <v>2023</v>
      </c>
      <c r="J103" s="1">
        <f t="shared" si="1"/>
        <v>18574</v>
      </c>
      <c r="K103" s="1">
        <f>J103*Emission_factor!$C$49</f>
        <v>13698.325000000001</v>
      </c>
    </row>
    <row r="104" spans="1:11" x14ac:dyDescent="0.25">
      <c r="A104" s="1">
        <v>103</v>
      </c>
      <c r="B104" s="1" t="s">
        <v>473</v>
      </c>
      <c r="C104" s="1" t="s">
        <v>478</v>
      </c>
      <c r="D104" s="1" t="s">
        <v>431</v>
      </c>
      <c r="E104" s="1" t="s">
        <v>475</v>
      </c>
      <c r="F104" s="1">
        <v>15</v>
      </c>
      <c r="G104" s="1">
        <v>438</v>
      </c>
      <c r="H104" s="4" t="s">
        <v>153</v>
      </c>
      <c r="I104" s="1">
        <v>2023</v>
      </c>
      <c r="J104" s="1">
        <f t="shared" si="1"/>
        <v>13140</v>
      </c>
      <c r="K104" s="1">
        <f>J104*Emission_factor!$C$49</f>
        <v>9690.75</v>
      </c>
    </row>
    <row r="105" spans="1:11" x14ac:dyDescent="0.25">
      <c r="A105" s="1">
        <v>104</v>
      </c>
      <c r="B105" s="1" t="s">
        <v>473</v>
      </c>
      <c r="C105" s="1" t="s">
        <v>478</v>
      </c>
      <c r="D105" s="1" t="s">
        <v>431</v>
      </c>
      <c r="E105" s="1" t="s">
        <v>475</v>
      </c>
      <c r="F105" s="1">
        <v>1</v>
      </c>
      <c r="G105" s="1">
        <v>438</v>
      </c>
      <c r="H105" s="4" t="s">
        <v>153</v>
      </c>
      <c r="I105" s="1">
        <v>2023</v>
      </c>
      <c r="J105" s="1">
        <f t="shared" si="1"/>
        <v>876</v>
      </c>
      <c r="K105" s="1">
        <f>J105*Emission_factor!$C$49</f>
        <v>646.05000000000007</v>
      </c>
    </row>
    <row r="106" spans="1:11" x14ac:dyDescent="0.25">
      <c r="A106" s="1">
        <v>105</v>
      </c>
      <c r="B106" s="1" t="s">
        <v>473</v>
      </c>
      <c r="C106" s="1" t="s">
        <v>430</v>
      </c>
      <c r="D106" s="1" t="s">
        <v>431</v>
      </c>
      <c r="E106" s="1" t="s">
        <v>475</v>
      </c>
      <c r="F106" s="1">
        <v>17</v>
      </c>
      <c r="G106" s="1">
        <v>438</v>
      </c>
      <c r="H106" s="4" t="s">
        <v>153</v>
      </c>
      <c r="I106" s="1">
        <v>2023</v>
      </c>
      <c r="J106" s="1">
        <f t="shared" si="1"/>
        <v>14892</v>
      </c>
      <c r="K106" s="1">
        <f>J106*Emission_factor!$C$49</f>
        <v>10982.85</v>
      </c>
    </row>
    <row r="107" spans="1:11" x14ac:dyDescent="0.25">
      <c r="A107" s="1">
        <v>106</v>
      </c>
      <c r="B107" s="1" t="s">
        <v>473</v>
      </c>
      <c r="C107" s="1" t="s">
        <v>478</v>
      </c>
      <c r="D107" s="1" t="s">
        <v>431</v>
      </c>
      <c r="E107" s="1" t="s">
        <v>475</v>
      </c>
      <c r="F107" s="1">
        <v>2</v>
      </c>
      <c r="G107" s="1">
        <v>438</v>
      </c>
      <c r="H107" s="4" t="s">
        <v>153</v>
      </c>
      <c r="I107" s="1">
        <v>2023</v>
      </c>
      <c r="J107" s="1">
        <f t="shared" si="1"/>
        <v>1752</v>
      </c>
      <c r="K107" s="1">
        <f>J107*Emission_factor!$C$49</f>
        <v>1292.1000000000001</v>
      </c>
    </row>
    <row r="108" spans="1:11" x14ac:dyDescent="0.25">
      <c r="A108" s="1">
        <v>107</v>
      </c>
      <c r="B108" s="1" t="s">
        <v>473</v>
      </c>
      <c r="C108" s="1" t="s">
        <v>430</v>
      </c>
      <c r="D108" s="1" t="s">
        <v>431</v>
      </c>
      <c r="E108" s="1" t="s">
        <v>475</v>
      </c>
      <c r="F108" s="1">
        <v>12</v>
      </c>
      <c r="G108" s="1">
        <v>438</v>
      </c>
      <c r="H108" s="4" t="s">
        <v>153</v>
      </c>
      <c r="I108" s="1">
        <v>2023</v>
      </c>
      <c r="J108" s="1">
        <f t="shared" si="1"/>
        <v>10512</v>
      </c>
      <c r="K108" s="1">
        <f>J108*Emission_factor!$C$49</f>
        <v>7752.6</v>
      </c>
    </row>
    <row r="109" spans="1:11" x14ac:dyDescent="0.25">
      <c r="A109" s="1">
        <v>108</v>
      </c>
      <c r="B109" s="1" t="s">
        <v>473</v>
      </c>
      <c r="C109" s="1" t="s">
        <v>430</v>
      </c>
      <c r="D109" s="1" t="s">
        <v>431</v>
      </c>
      <c r="E109" s="1" t="s">
        <v>475</v>
      </c>
      <c r="F109" s="1">
        <v>44</v>
      </c>
      <c r="G109" s="1">
        <v>438</v>
      </c>
      <c r="H109" s="4" t="s">
        <v>153</v>
      </c>
      <c r="I109" s="1">
        <v>2023</v>
      </c>
      <c r="J109" s="1">
        <f t="shared" si="1"/>
        <v>38544</v>
      </c>
      <c r="K109" s="1">
        <f>J109*Emission_factor!$C$49</f>
        <v>28426.2</v>
      </c>
    </row>
    <row r="110" spans="1:11" x14ac:dyDescent="0.25">
      <c r="A110" s="1">
        <v>109</v>
      </c>
      <c r="B110" s="1" t="s">
        <v>473</v>
      </c>
      <c r="C110" s="1" t="s">
        <v>430</v>
      </c>
      <c r="D110" s="1" t="s">
        <v>431</v>
      </c>
      <c r="E110" s="1" t="s">
        <v>475</v>
      </c>
      <c r="F110" s="1">
        <v>33</v>
      </c>
      <c r="G110" s="1">
        <v>438</v>
      </c>
      <c r="H110" s="4" t="s">
        <v>153</v>
      </c>
      <c r="I110" s="1">
        <v>2023</v>
      </c>
      <c r="J110" s="1">
        <f t="shared" si="1"/>
        <v>28908</v>
      </c>
      <c r="K110" s="1">
        <f>J110*Emission_factor!$C$49</f>
        <v>21319.65</v>
      </c>
    </row>
    <row r="111" spans="1:11" x14ac:dyDescent="0.25">
      <c r="A111" s="1">
        <v>110</v>
      </c>
      <c r="B111" s="1" t="s">
        <v>473</v>
      </c>
      <c r="C111" s="1" t="s">
        <v>430</v>
      </c>
      <c r="D111" s="1" t="s">
        <v>431</v>
      </c>
      <c r="E111" s="1" t="s">
        <v>475</v>
      </c>
      <c r="F111" s="1">
        <v>18</v>
      </c>
      <c r="G111" s="1">
        <v>438</v>
      </c>
      <c r="H111" s="4" t="s">
        <v>153</v>
      </c>
      <c r="I111" s="1">
        <v>2023</v>
      </c>
      <c r="J111" s="1">
        <f t="shared" si="1"/>
        <v>15768</v>
      </c>
      <c r="K111" s="1">
        <f>J111*Emission_factor!$C$49</f>
        <v>11628.900000000001</v>
      </c>
    </row>
    <row r="112" spans="1:11" x14ac:dyDescent="0.25">
      <c r="A112" s="1">
        <v>111</v>
      </c>
      <c r="B112" s="1" t="s">
        <v>473</v>
      </c>
      <c r="C112" s="1" t="s">
        <v>430</v>
      </c>
      <c r="D112" s="1" t="s">
        <v>431</v>
      </c>
      <c r="E112" s="1" t="s">
        <v>475</v>
      </c>
      <c r="F112" s="1">
        <v>44</v>
      </c>
      <c r="G112" s="1">
        <v>438</v>
      </c>
      <c r="H112" s="4" t="s">
        <v>153</v>
      </c>
      <c r="I112" s="1">
        <v>2023</v>
      </c>
      <c r="J112" s="1">
        <f t="shared" si="1"/>
        <v>38544</v>
      </c>
      <c r="K112" s="1">
        <f>J112*Emission_factor!$C$49</f>
        <v>28426.2</v>
      </c>
    </row>
    <row r="113" spans="1:11" x14ac:dyDescent="0.25">
      <c r="A113" s="1">
        <v>112</v>
      </c>
      <c r="B113" s="1" t="s">
        <v>473</v>
      </c>
      <c r="C113" s="1" t="s">
        <v>430</v>
      </c>
      <c r="D113" s="1" t="s">
        <v>431</v>
      </c>
      <c r="E113" s="1" t="s">
        <v>475</v>
      </c>
      <c r="F113" s="1">
        <v>1</v>
      </c>
      <c r="G113" s="1">
        <v>438</v>
      </c>
      <c r="H113" s="4" t="s">
        <v>153</v>
      </c>
      <c r="I113" s="1">
        <v>2023</v>
      </c>
      <c r="J113" s="1">
        <f t="shared" si="1"/>
        <v>876</v>
      </c>
      <c r="K113" s="1">
        <f>J113*Emission_factor!$C$49</f>
        <v>646.05000000000007</v>
      </c>
    </row>
    <row r="114" spans="1:11" x14ac:dyDescent="0.25">
      <c r="A114" s="1">
        <v>113</v>
      </c>
      <c r="B114" s="1" t="s">
        <v>473</v>
      </c>
      <c r="C114" s="1" t="s">
        <v>465</v>
      </c>
      <c r="D114" s="1" t="s">
        <v>466</v>
      </c>
      <c r="E114" s="1" t="s">
        <v>484</v>
      </c>
      <c r="F114" s="1">
        <v>4</v>
      </c>
      <c r="G114" s="1">
        <v>251</v>
      </c>
      <c r="H114" s="4" t="s">
        <v>154</v>
      </c>
      <c r="I114" s="1">
        <v>2024</v>
      </c>
      <c r="J114" s="1">
        <f t="shared" si="1"/>
        <v>2008</v>
      </c>
      <c r="K114" s="1">
        <f>J114*Emission_factor!$C$49</f>
        <v>1480.9</v>
      </c>
    </row>
    <row r="115" spans="1:11" x14ac:dyDescent="0.25">
      <c r="A115" s="1">
        <v>114</v>
      </c>
      <c r="B115" s="1" t="s">
        <v>473</v>
      </c>
      <c r="C115" s="1" t="s">
        <v>465</v>
      </c>
      <c r="D115" s="1" t="s">
        <v>466</v>
      </c>
      <c r="E115" s="1" t="s">
        <v>484</v>
      </c>
      <c r="F115" s="1">
        <v>4</v>
      </c>
      <c r="G115" s="1">
        <v>251</v>
      </c>
      <c r="H115" s="4" t="s">
        <v>154</v>
      </c>
      <c r="I115" s="1">
        <v>2024</v>
      </c>
      <c r="J115" s="1">
        <f t="shared" si="1"/>
        <v>2008</v>
      </c>
      <c r="K115" s="1">
        <f>J115*Emission_factor!$C$49</f>
        <v>1480.9</v>
      </c>
    </row>
    <row r="116" spans="1:11" x14ac:dyDescent="0.25">
      <c r="A116" s="1">
        <v>115</v>
      </c>
      <c r="B116" s="1" t="s">
        <v>473</v>
      </c>
      <c r="C116" s="1" t="s">
        <v>465</v>
      </c>
      <c r="D116" s="1" t="s">
        <v>466</v>
      </c>
      <c r="E116" s="1" t="s">
        <v>475</v>
      </c>
      <c r="F116" s="1">
        <v>4</v>
      </c>
      <c r="G116" s="1">
        <v>251</v>
      </c>
      <c r="H116" s="4" t="s">
        <v>155</v>
      </c>
      <c r="I116" s="1">
        <v>2024</v>
      </c>
      <c r="J116" s="1">
        <f t="shared" si="1"/>
        <v>2008</v>
      </c>
      <c r="K116" s="1">
        <f>J116*Emission_factor!$C$49</f>
        <v>1480.9</v>
      </c>
    </row>
    <row r="117" spans="1:11" x14ac:dyDescent="0.25">
      <c r="A117" s="1">
        <v>116</v>
      </c>
      <c r="B117" s="1" t="s">
        <v>473</v>
      </c>
      <c r="C117" s="1" t="s">
        <v>465</v>
      </c>
      <c r="D117" s="1" t="s">
        <v>466</v>
      </c>
      <c r="E117" s="1" t="s">
        <v>475</v>
      </c>
      <c r="F117" s="1">
        <v>4</v>
      </c>
      <c r="G117" s="1">
        <v>251</v>
      </c>
      <c r="H117" s="4" t="s">
        <v>155</v>
      </c>
      <c r="I117" s="1">
        <v>2024</v>
      </c>
      <c r="J117" s="1">
        <f t="shared" si="1"/>
        <v>2008</v>
      </c>
      <c r="K117" s="1">
        <f>J117*Emission_factor!$C$49</f>
        <v>1480.9</v>
      </c>
    </row>
    <row r="118" spans="1:11" x14ac:dyDescent="0.25">
      <c r="A118" s="1">
        <v>117</v>
      </c>
      <c r="B118" s="1" t="s">
        <v>473</v>
      </c>
      <c r="C118" s="1" t="s">
        <v>465</v>
      </c>
      <c r="D118" s="1" t="s">
        <v>466</v>
      </c>
      <c r="E118" s="1" t="s">
        <v>475</v>
      </c>
      <c r="F118" s="1">
        <v>17</v>
      </c>
      <c r="G118" s="1">
        <v>251</v>
      </c>
      <c r="H118" s="4" t="s">
        <v>156</v>
      </c>
      <c r="I118" s="1">
        <v>2024</v>
      </c>
      <c r="J118" s="1">
        <f t="shared" si="1"/>
        <v>8534</v>
      </c>
      <c r="K118" s="1">
        <f>J118*Emission_factor!$C$49</f>
        <v>6293.8250000000007</v>
      </c>
    </row>
    <row r="119" spans="1:11" x14ac:dyDescent="0.25">
      <c r="A119" s="1">
        <v>118</v>
      </c>
      <c r="B119" s="1" t="s">
        <v>473</v>
      </c>
      <c r="C119" s="1" t="s">
        <v>465</v>
      </c>
      <c r="D119" s="1" t="s">
        <v>466</v>
      </c>
      <c r="E119" s="1" t="s">
        <v>475</v>
      </c>
      <c r="F119" s="1">
        <v>30</v>
      </c>
      <c r="G119" s="1">
        <v>251</v>
      </c>
      <c r="H119" s="4" t="s">
        <v>156</v>
      </c>
      <c r="I119" s="1">
        <v>2024</v>
      </c>
      <c r="J119" s="1">
        <f t="shared" si="1"/>
        <v>15060</v>
      </c>
      <c r="K119" s="1">
        <f>J119*Emission_factor!$C$49</f>
        <v>11106.75</v>
      </c>
    </row>
    <row r="120" spans="1:11" x14ac:dyDescent="0.25">
      <c r="A120" s="1">
        <v>119</v>
      </c>
      <c r="B120" s="1" t="s">
        <v>473</v>
      </c>
      <c r="C120" s="1" t="s">
        <v>465</v>
      </c>
      <c r="D120" s="1" t="s">
        <v>466</v>
      </c>
      <c r="E120" s="1" t="s">
        <v>475</v>
      </c>
      <c r="F120" s="1">
        <v>38</v>
      </c>
      <c r="G120" s="1">
        <v>251</v>
      </c>
      <c r="H120" s="4" t="s">
        <v>156</v>
      </c>
      <c r="I120" s="1">
        <v>2024</v>
      </c>
      <c r="J120" s="1">
        <f t="shared" si="1"/>
        <v>19076</v>
      </c>
      <c r="K120" s="1">
        <f>J120*Emission_factor!$C$49</f>
        <v>14068.550000000001</v>
      </c>
    </row>
    <row r="121" spans="1:11" x14ac:dyDescent="0.25">
      <c r="A121" s="1">
        <v>120</v>
      </c>
      <c r="B121" s="1" t="s">
        <v>473</v>
      </c>
      <c r="C121" s="1" t="s">
        <v>465</v>
      </c>
      <c r="D121" s="1" t="s">
        <v>466</v>
      </c>
      <c r="E121" s="1" t="s">
        <v>475</v>
      </c>
      <c r="F121" s="1">
        <v>11</v>
      </c>
      <c r="G121" s="1">
        <v>251</v>
      </c>
      <c r="H121" s="4" t="s">
        <v>156</v>
      </c>
      <c r="I121" s="1">
        <v>2024</v>
      </c>
      <c r="J121" s="1">
        <f t="shared" si="1"/>
        <v>5522</v>
      </c>
      <c r="K121" s="1">
        <f>J121*Emission_factor!$C$49</f>
        <v>4072.4750000000004</v>
      </c>
    </row>
    <row r="122" spans="1:11" x14ac:dyDescent="0.25">
      <c r="A122" s="1">
        <v>121</v>
      </c>
      <c r="B122" s="1" t="s">
        <v>473</v>
      </c>
      <c r="C122" s="1" t="s">
        <v>478</v>
      </c>
      <c r="D122" s="1" t="s">
        <v>431</v>
      </c>
      <c r="E122" s="1" t="s">
        <v>475</v>
      </c>
      <c r="F122" s="1">
        <v>16</v>
      </c>
      <c r="G122" s="1">
        <v>438</v>
      </c>
      <c r="H122" s="4" t="s">
        <v>156</v>
      </c>
      <c r="I122" s="1">
        <v>2024</v>
      </c>
      <c r="J122" s="1">
        <f t="shared" si="1"/>
        <v>14016</v>
      </c>
      <c r="K122" s="1">
        <f>J122*Emission_factor!$C$49</f>
        <v>10336.800000000001</v>
      </c>
    </row>
    <row r="123" spans="1:11" x14ac:dyDescent="0.25">
      <c r="I123" t="s">
        <v>225</v>
      </c>
      <c r="J123" s="3">
        <f>SUM(J2:J122)</f>
        <v>1553002</v>
      </c>
      <c r="K123">
        <f>J123*Emission_factor!$C$49</f>
        <v>1145338.9750000001</v>
      </c>
    </row>
    <row r="124" spans="1:11" x14ac:dyDescent="0.25">
      <c r="J124" t="s">
        <v>488</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
  <sheetViews>
    <sheetView workbookViewId="0">
      <selection activeCell="F2" sqref="F2"/>
    </sheetView>
  </sheetViews>
  <sheetFormatPr defaultRowHeight="15" x14ac:dyDescent="0.25"/>
  <cols>
    <col min="2" max="2" width="19.140625" bestFit="1" customWidth="1"/>
    <col min="3" max="3" width="20.140625" bestFit="1" customWidth="1"/>
    <col min="4" max="4" width="14" bestFit="1" customWidth="1"/>
    <col min="5" max="5" width="14.5703125" bestFit="1" customWidth="1"/>
  </cols>
  <sheetData>
    <row r="1" spans="1:5" x14ac:dyDescent="0.25">
      <c r="A1" t="s">
        <v>159</v>
      </c>
      <c r="B1" t="s">
        <v>0</v>
      </c>
      <c r="C1" t="s">
        <v>160</v>
      </c>
      <c r="D1" t="s">
        <v>495</v>
      </c>
      <c r="E1" t="s">
        <v>522</v>
      </c>
    </row>
    <row r="2" spans="1:5" x14ac:dyDescent="0.25">
      <c r="A2">
        <v>1</v>
      </c>
      <c r="B2" t="s">
        <v>489</v>
      </c>
      <c r="C2" t="s">
        <v>496</v>
      </c>
      <c r="D2">
        <v>126942</v>
      </c>
      <c r="E2">
        <f>D2*Emission_factor!C43</f>
        <v>22575.068532467532</v>
      </c>
    </row>
    <row r="3" spans="1:5" x14ac:dyDescent="0.25">
      <c r="E3" t="s">
        <v>526</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
  <sheetViews>
    <sheetView workbookViewId="0">
      <selection activeCell="E3" sqref="E3"/>
    </sheetView>
  </sheetViews>
  <sheetFormatPr defaultRowHeight="15" x14ac:dyDescent="0.25"/>
  <cols>
    <col min="2" max="2" width="20.28515625" bestFit="1" customWidth="1"/>
    <col min="3" max="3" width="20.140625" bestFit="1" customWidth="1"/>
    <col min="4" max="4" width="14" bestFit="1" customWidth="1"/>
    <col min="5" max="5" width="15.42578125" bestFit="1" customWidth="1"/>
  </cols>
  <sheetData>
    <row r="1" spans="1:5" x14ac:dyDescent="0.25">
      <c r="A1" t="s">
        <v>159</v>
      </c>
      <c r="B1" t="s">
        <v>0</v>
      </c>
      <c r="C1" t="s">
        <v>160</v>
      </c>
      <c r="D1" t="s">
        <v>495</v>
      </c>
      <c r="E1" t="s">
        <v>524</v>
      </c>
    </row>
    <row r="2" spans="1:5" x14ac:dyDescent="0.25">
      <c r="A2">
        <v>1</v>
      </c>
      <c r="B2" s="20" t="s">
        <v>491</v>
      </c>
      <c r="C2" t="s">
        <v>496</v>
      </c>
      <c r="D2">
        <v>253884</v>
      </c>
      <c r="E2">
        <f>D2*Emission_factor!C42</f>
        <v>45149.038000000008</v>
      </c>
    </row>
    <row r="3" spans="1:5" x14ac:dyDescent="0.25">
      <c r="E3" t="s">
        <v>526</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
  <sheetViews>
    <sheetView workbookViewId="0">
      <selection activeCell="E2" sqref="E2"/>
    </sheetView>
  </sheetViews>
  <sheetFormatPr defaultRowHeight="15" x14ac:dyDescent="0.25"/>
  <cols>
    <col min="2" max="2" width="20.28515625" bestFit="1" customWidth="1"/>
    <col min="3" max="3" width="20.140625" bestFit="1" customWidth="1"/>
    <col min="4" max="4" width="14" bestFit="1" customWidth="1"/>
    <col min="5" max="5" width="14.5703125" bestFit="1" customWidth="1"/>
  </cols>
  <sheetData>
    <row r="1" spans="1:5" x14ac:dyDescent="0.25">
      <c r="A1" t="s">
        <v>159</v>
      </c>
      <c r="B1" t="s">
        <v>0</v>
      </c>
      <c r="C1" t="s">
        <v>160</v>
      </c>
      <c r="D1" t="s">
        <v>495</v>
      </c>
      <c r="E1" t="s">
        <v>522</v>
      </c>
    </row>
    <row r="2" spans="1:5" x14ac:dyDescent="0.25">
      <c r="A2">
        <v>1</v>
      </c>
      <c r="B2" s="20" t="s">
        <v>493</v>
      </c>
      <c r="C2" t="s">
        <v>497</v>
      </c>
      <c r="D2">
        <v>115200</v>
      </c>
      <c r="E2">
        <f>D2*Emission_factor!C43</f>
        <v>20486.898701298702</v>
      </c>
    </row>
    <row r="3" spans="1:5" x14ac:dyDescent="0.25">
      <c r="E3" t="s">
        <v>526</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9"/>
  <sheetViews>
    <sheetView workbookViewId="0">
      <selection activeCell="I19" sqref="I19"/>
    </sheetView>
  </sheetViews>
  <sheetFormatPr defaultRowHeight="15" x14ac:dyDescent="0.25"/>
  <cols>
    <col min="2" max="2" width="20" bestFit="1" customWidth="1"/>
    <col min="3" max="3" width="19.42578125" bestFit="1" customWidth="1"/>
    <col min="4" max="4" width="12.85546875" bestFit="1" customWidth="1"/>
    <col min="5" max="5" width="3.85546875" bestFit="1" customWidth="1"/>
    <col min="6" max="6" width="12.85546875" customWidth="1"/>
    <col min="8" max="8" width="15" bestFit="1" customWidth="1"/>
    <col min="9" max="9" width="14.5703125" bestFit="1" customWidth="1"/>
  </cols>
  <sheetData>
    <row r="1" spans="1:9" x14ac:dyDescent="0.25">
      <c r="A1" s="1" t="s">
        <v>118</v>
      </c>
      <c r="B1" s="1" t="s">
        <v>0</v>
      </c>
      <c r="C1" s="1" t="s">
        <v>498</v>
      </c>
      <c r="D1" s="1" t="s">
        <v>499</v>
      </c>
      <c r="E1" s="1"/>
      <c r="F1" s="1" t="s">
        <v>565</v>
      </c>
      <c r="G1" s="1" t="s">
        <v>82</v>
      </c>
      <c r="H1" s="4" t="s">
        <v>564</v>
      </c>
      <c r="I1" s="4" t="s">
        <v>522</v>
      </c>
    </row>
    <row r="2" spans="1:9" x14ac:dyDescent="0.25">
      <c r="A2" s="1">
        <v>1</v>
      </c>
      <c r="B2" s="65" t="s">
        <v>75</v>
      </c>
      <c r="C2" s="1" t="s">
        <v>500</v>
      </c>
      <c r="D2" s="1">
        <v>270</v>
      </c>
      <c r="E2" s="1"/>
      <c r="F2" s="1">
        <f>(6.75*D2)/1000</f>
        <v>1.8225</v>
      </c>
      <c r="G2" s="1">
        <v>2.42</v>
      </c>
      <c r="H2" s="87" t="s">
        <v>566</v>
      </c>
      <c r="I2" s="1">
        <f>F2*G2</f>
        <v>4.41045</v>
      </c>
    </row>
    <row r="3" spans="1:9" x14ac:dyDescent="0.25">
      <c r="A3" s="1">
        <v>2</v>
      </c>
      <c r="B3" s="65" t="s">
        <v>75</v>
      </c>
      <c r="C3" s="1" t="s">
        <v>501</v>
      </c>
      <c r="D3" s="1">
        <v>200</v>
      </c>
      <c r="E3" s="1"/>
      <c r="F3" s="1">
        <f>(50*D3)/1000</f>
        <v>10</v>
      </c>
      <c r="G3" s="1">
        <v>2.42</v>
      </c>
      <c r="H3" s="87"/>
      <c r="I3" s="1">
        <f>F3*G3</f>
        <v>24.2</v>
      </c>
    </row>
    <row r="4" spans="1:9" x14ac:dyDescent="0.25">
      <c r="A4" s="1">
        <v>3</v>
      </c>
      <c r="B4" s="65" t="s">
        <v>75</v>
      </c>
      <c r="C4" s="1" t="s">
        <v>502</v>
      </c>
      <c r="D4" s="1">
        <v>195</v>
      </c>
      <c r="E4" s="1"/>
      <c r="F4" s="1">
        <f>(100*D4)/1000</f>
        <v>19.5</v>
      </c>
      <c r="G4" s="1">
        <v>2.42</v>
      </c>
      <c r="H4" s="87"/>
      <c r="I4" s="1">
        <f t="shared" ref="I4:I6" si="0">F4*G4</f>
        <v>47.19</v>
      </c>
    </row>
    <row r="5" spans="1:9" x14ac:dyDescent="0.25">
      <c r="A5" s="1">
        <v>4</v>
      </c>
      <c r="B5" s="65" t="s">
        <v>75</v>
      </c>
      <c r="C5" s="1" t="s">
        <v>503</v>
      </c>
      <c r="D5" s="1">
        <v>134</v>
      </c>
      <c r="E5" s="1"/>
      <c r="F5" s="1">
        <f>2.27*D5</f>
        <v>304.18</v>
      </c>
      <c r="G5" s="1">
        <v>2.42</v>
      </c>
      <c r="H5" s="87"/>
      <c r="I5" s="1">
        <f t="shared" si="0"/>
        <v>736.11559999999997</v>
      </c>
    </row>
    <row r="6" spans="1:9" x14ac:dyDescent="0.25">
      <c r="A6" s="1">
        <v>5</v>
      </c>
      <c r="B6" s="65" t="s">
        <v>75</v>
      </c>
      <c r="C6" s="1" t="s">
        <v>504</v>
      </c>
      <c r="D6" s="1">
        <v>130</v>
      </c>
      <c r="E6" s="1"/>
      <c r="F6" s="1">
        <f>(6.75*D6)/1000</f>
        <v>0.87749999999999995</v>
      </c>
      <c r="G6" s="1">
        <v>2.42</v>
      </c>
      <c r="H6" s="87"/>
      <c r="I6" s="1">
        <f t="shared" si="0"/>
        <v>2.1235499999999998</v>
      </c>
    </row>
    <row r="7" spans="1:9" x14ac:dyDescent="0.25">
      <c r="A7" s="1">
        <v>6</v>
      </c>
      <c r="B7" s="65" t="s">
        <v>75</v>
      </c>
      <c r="C7" s="1" t="s">
        <v>505</v>
      </c>
      <c r="D7" s="1">
        <v>111</v>
      </c>
      <c r="E7" s="1"/>
      <c r="F7" s="1">
        <f>(100/1000)*D7</f>
        <v>11.100000000000001</v>
      </c>
      <c r="G7" s="1">
        <v>7.7099999999999998E-3</v>
      </c>
      <c r="H7" s="1" t="s">
        <v>566</v>
      </c>
      <c r="I7" s="1">
        <f>F7*G7</f>
        <v>8.5581000000000004E-2</v>
      </c>
    </row>
    <row r="8" spans="1:9" x14ac:dyDescent="0.25">
      <c r="A8" s="1">
        <v>7</v>
      </c>
      <c r="B8" s="65" t="s">
        <v>75</v>
      </c>
      <c r="C8" s="1" t="s">
        <v>506</v>
      </c>
      <c r="D8" s="1">
        <v>100</v>
      </c>
      <c r="E8" s="1"/>
      <c r="F8" s="1"/>
      <c r="G8" s="1">
        <v>1.38</v>
      </c>
      <c r="H8" s="1" t="s">
        <v>567</v>
      </c>
      <c r="I8" s="1">
        <f>(G8*D8)/1000</f>
        <v>0.13800000000000001</v>
      </c>
    </row>
    <row r="9" spans="1:9" x14ac:dyDescent="0.25">
      <c r="A9" s="1">
        <v>8</v>
      </c>
      <c r="B9" s="65" t="s">
        <v>75</v>
      </c>
      <c r="C9" s="1" t="s">
        <v>507</v>
      </c>
      <c r="D9" s="1">
        <v>96</v>
      </c>
      <c r="E9" s="1" t="s">
        <v>517</v>
      </c>
      <c r="F9" s="1"/>
      <c r="G9" s="1">
        <v>95.95</v>
      </c>
      <c r="H9" s="1" t="s">
        <v>569</v>
      </c>
      <c r="I9" s="1"/>
    </row>
    <row r="10" spans="1:9" x14ac:dyDescent="0.25">
      <c r="A10" s="1">
        <v>9</v>
      </c>
      <c r="B10" s="65" t="s">
        <v>75</v>
      </c>
      <c r="C10" s="1" t="s">
        <v>508</v>
      </c>
      <c r="D10" s="1">
        <v>92</v>
      </c>
      <c r="E10" s="1"/>
      <c r="F10" s="1">
        <f>D10*1</f>
        <v>92</v>
      </c>
      <c r="G10" s="1">
        <v>3.87</v>
      </c>
      <c r="H10" s="1" t="s">
        <v>570</v>
      </c>
      <c r="I10" s="1">
        <f>G10*F10</f>
        <v>356.04</v>
      </c>
    </row>
    <row r="11" spans="1:9" x14ac:dyDescent="0.25">
      <c r="A11" s="55">
        <v>10</v>
      </c>
      <c r="B11" s="65" t="s">
        <v>75</v>
      </c>
      <c r="C11" s="55" t="s">
        <v>509</v>
      </c>
      <c r="D11" s="55">
        <v>79</v>
      </c>
      <c r="E11" s="55"/>
      <c r="F11" s="55"/>
      <c r="G11" s="55"/>
      <c r="H11" s="1"/>
      <c r="I11" s="1"/>
    </row>
    <row r="12" spans="1:9" x14ac:dyDescent="0.25">
      <c r="A12" s="55">
        <v>11</v>
      </c>
      <c r="B12" s="65" t="s">
        <v>75</v>
      </c>
      <c r="C12" s="55" t="s">
        <v>510</v>
      </c>
      <c r="D12" s="55">
        <v>72</v>
      </c>
      <c r="E12" s="55"/>
      <c r="F12" s="55"/>
      <c r="G12" s="55"/>
      <c r="H12" s="1"/>
      <c r="I12" s="1"/>
    </row>
    <row r="13" spans="1:9" x14ac:dyDescent="0.25">
      <c r="A13" s="55">
        <v>12</v>
      </c>
      <c r="B13" s="65" t="s">
        <v>75</v>
      </c>
      <c r="C13" s="55" t="s">
        <v>511</v>
      </c>
      <c r="D13" s="55">
        <v>70</v>
      </c>
      <c r="E13" s="55"/>
      <c r="F13" s="55"/>
      <c r="G13" s="55"/>
      <c r="H13" s="1"/>
      <c r="I13" s="1"/>
    </row>
    <row r="14" spans="1:9" x14ac:dyDescent="0.25">
      <c r="A14" s="1">
        <v>13</v>
      </c>
      <c r="B14" s="65" t="s">
        <v>75</v>
      </c>
      <c r="C14" s="1" t="s">
        <v>512</v>
      </c>
      <c r="D14" s="1">
        <v>66</v>
      </c>
      <c r="E14" s="1"/>
      <c r="F14" s="1"/>
      <c r="G14" s="1">
        <v>0.107</v>
      </c>
      <c r="H14" s="1" t="s">
        <v>568</v>
      </c>
      <c r="I14" s="1">
        <f>G14*D14</f>
        <v>7.0620000000000003</v>
      </c>
    </row>
    <row r="15" spans="1:9" x14ac:dyDescent="0.25">
      <c r="A15" s="55">
        <v>14</v>
      </c>
      <c r="B15" s="65" t="s">
        <v>75</v>
      </c>
      <c r="C15" s="55" t="s">
        <v>513</v>
      </c>
      <c r="D15" s="55">
        <v>58</v>
      </c>
      <c r="E15" s="55"/>
      <c r="F15" s="55"/>
      <c r="G15" s="55"/>
      <c r="H15" s="1"/>
      <c r="I15" s="1"/>
    </row>
    <row r="16" spans="1:9" x14ac:dyDescent="0.25">
      <c r="A16" s="1">
        <v>15</v>
      </c>
      <c r="B16" s="65" t="s">
        <v>75</v>
      </c>
      <c r="C16" s="1" t="s">
        <v>514</v>
      </c>
      <c r="D16" s="1">
        <v>55</v>
      </c>
      <c r="E16" s="1"/>
      <c r="F16" s="1">
        <f>0.5*D16</f>
        <v>27.5</v>
      </c>
      <c r="G16" s="1">
        <v>1.7</v>
      </c>
      <c r="H16" s="1" t="s">
        <v>571</v>
      </c>
      <c r="I16" s="1">
        <f>F16*G16</f>
        <v>46.75</v>
      </c>
    </row>
    <row r="17" spans="1:9" x14ac:dyDescent="0.25">
      <c r="A17" s="55">
        <v>16</v>
      </c>
      <c r="B17" s="65" t="s">
        <v>75</v>
      </c>
      <c r="C17" s="55" t="s">
        <v>515</v>
      </c>
      <c r="D17" s="55">
        <v>52</v>
      </c>
      <c r="E17" s="55" t="s">
        <v>517</v>
      </c>
      <c r="F17" s="55"/>
      <c r="G17" s="55"/>
      <c r="H17" s="1"/>
      <c r="I17" s="1"/>
    </row>
    <row r="18" spans="1:9" x14ac:dyDescent="0.25">
      <c r="A18" s="1">
        <v>17</v>
      </c>
      <c r="B18" s="65" t="s">
        <v>75</v>
      </c>
      <c r="C18" s="1" t="s">
        <v>516</v>
      </c>
      <c r="D18" s="1">
        <v>50</v>
      </c>
      <c r="E18" s="1"/>
      <c r="F18" s="1">
        <f>50</f>
        <v>50</v>
      </c>
      <c r="G18" s="1">
        <v>1.7</v>
      </c>
      <c r="H18" s="1" t="s">
        <v>571</v>
      </c>
      <c r="I18" s="1">
        <f>G18*F18</f>
        <v>85</v>
      </c>
    </row>
    <row r="19" spans="1:9" x14ac:dyDescent="0.25">
      <c r="H19" s="3" t="s">
        <v>341</v>
      </c>
      <c r="I19">
        <f>SUM(I2:I18)</f>
        <v>1309.1151809999999</v>
      </c>
    </row>
  </sheetData>
  <mergeCells count="1">
    <mergeCell ref="H2:H6"/>
  </mergeCells>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48</vt:i4>
      </vt:variant>
    </vt:vector>
  </HeadingPairs>
  <TitlesOfParts>
    <vt:vector size="48" baseType="lpstr">
      <vt:lpstr>Description</vt:lpstr>
      <vt:lpstr>Processess</vt:lpstr>
      <vt:lpstr>Emission_factor</vt:lpstr>
      <vt:lpstr>Carbon_footprint</vt:lpstr>
      <vt:lpstr>Increase in Capacity</vt:lpstr>
      <vt:lpstr>DG_CONS_EM</vt:lpstr>
      <vt:lpstr>LPG_CONS_EM</vt:lpstr>
      <vt:lpstr>COMP_EM</vt:lpstr>
      <vt:lpstr>HEMV_FUEL_EM</vt:lpstr>
      <vt:lpstr>OVER_B_EM</vt:lpstr>
      <vt:lpstr>LMV_EM_D</vt:lpstr>
      <vt:lpstr>LMV_EM_G</vt:lpstr>
      <vt:lpstr>PUMP_DEW_EM</vt:lpstr>
      <vt:lpstr>PORT_DG_EM</vt:lpstr>
      <vt:lpstr>AC_R32_EM</vt:lpstr>
      <vt:lpstr>OXY_ACE_EM</vt:lpstr>
      <vt:lpstr>DIESEL_DRILL_EM</vt:lpstr>
      <vt:lpstr>LUBE_USE_EM</vt:lpstr>
      <vt:lpstr>ELECT_EM</vt:lpstr>
      <vt:lpstr>DRILL_BIL_PROD_EM</vt:lpstr>
      <vt:lpstr>LUBE_PROD_EM</vt:lpstr>
      <vt:lpstr>PVC_BOX_PROD_EM</vt:lpstr>
      <vt:lpstr>HEMV_TYRE_PROD_EM</vt:lpstr>
      <vt:lpstr>LMV_TYRE_PROD_EM</vt:lpstr>
      <vt:lpstr>BATT_PROD_EM</vt:lpstr>
      <vt:lpstr>BLAST_PROD_EM</vt:lpstr>
      <vt:lpstr>OXY_ACE_PROD_EM</vt:lpstr>
      <vt:lpstr>ELECT_ARC_PROD_EM</vt:lpstr>
      <vt:lpstr>HDPE5_PROD_EM</vt:lpstr>
      <vt:lpstr>LPG_PROD_EM</vt:lpstr>
      <vt:lpstr>FE_CHROM_PROD_EM</vt:lpstr>
      <vt:lpstr>STEEL_PROD_EM</vt:lpstr>
      <vt:lpstr>WTP_ELECT_EM</vt:lpstr>
      <vt:lpstr>QC_CHEM_PROD_EM</vt:lpstr>
      <vt:lpstr>CHEM_ETP_PROD_EM</vt:lpstr>
      <vt:lpstr>DISP_TYRE_EM</vt:lpstr>
      <vt:lpstr>DISP_LUBE_EM</vt:lpstr>
      <vt:lpstr>TRANS_2WHS_EM</vt:lpstr>
      <vt:lpstr>TRANS_BUS_EM</vt:lpstr>
      <vt:lpstr>TRANS_PLANE_EM</vt:lpstr>
      <vt:lpstr>TRANS_LMV_EM</vt:lpstr>
      <vt:lpstr>TRANS_6WHS_EM</vt:lpstr>
      <vt:lpstr>TRANS_12-14WHS_EM</vt:lpstr>
      <vt:lpstr>MIN_QC_TRANS_EM</vt:lpstr>
      <vt:lpstr>CORE_QC_TRANS_EM</vt:lpstr>
      <vt:lpstr>CORE_TRANS_BB_EM</vt:lpstr>
      <vt:lpstr>GEN_ITEM_PROD_EM</vt: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2025-10-01T07:24:20Z</dcterms:modified>
</cp:coreProperties>
</file>